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zxxc\Downloads\"/>
    </mc:Choice>
  </mc:AlternateContent>
  <xr:revisionPtr revIDLastSave="0" documentId="13_ncr:1_{293F1FD3-C40D-476B-931A-16F09CB78F94}" xr6:coauthVersionLast="47" xr6:coauthVersionMax="47" xr10:uidLastSave="{00000000-0000-0000-0000-000000000000}"/>
  <bookViews>
    <workbookView xWindow="-110" yWindow="-110" windowWidth="25820" windowHeight="15500" firstSheet="5" activeTab="9" xr2:uid="{00000000-000D-0000-FFFF-FFFF00000000}"/>
  </bookViews>
  <sheets>
    <sheet name="00 시작하기" sheetId="1" r:id="rId1"/>
    <sheet name="02 자료마감일" sheetId="3" r:id="rId2"/>
    <sheet name="01 검산지도" sheetId="2" r:id="rId3"/>
    <sheet name="03-04 거래대금·ADTV90" sheetId="4" r:id="rId4"/>
    <sheet name="05 P10·편입판정" sheetId="5" r:id="rId5"/>
    <sheet name="06 목표비중" sheetId="6" r:id="rId6"/>
    <sheet name="07 지수레벨" sheetId="7" r:id="rId7"/>
    <sheet name="08 분할효과" sheetId="8" r:id="rId8"/>
    <sheet name="09 대조표" sheetId="9" r:id="rId9"/>
    <sheet name="10 발표용요약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9" l="1"/>
  <c r="D25" i="9"/>
  <c r="D24" i="9"/>
  <c r="E21" i="9"/>
  <c r="E20" i="9"/>
  <c r="E19" i="9"/>
  <c r="E18" i="9"/>
  <c r="E17" i="9"/>
  <c r="E16" i="9"/>
  <c r="E15" i="9"/>
  <c r="E14" i="9"/>
  <c r="E13" i="9"/>
  <c r="E12" i="9"/>
  <c r="E11" i="9"/>
  <c r="E10" i="9"/>
  <c r="C30" i="8"/>
  <c r="C29" i="8"/>
  <c r="C28" i="8"/>
  <c r="C27" i="8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F17" i="8"/>
  <c r="E17" i="8"/>
  <c r="F16" i="8"/>
  <c r="E16" i="8"/>
  <c r="D36" i="7"/>
  <c r="J33" i="7"/>
  <c r="H32" i="7"/>
  <c r="I32" i="7" s="1"/>
  <c r="J32" i="7" s="1"/>
  <c r="G32" i="7"/>
  <c r="H31" i="7"/>
  <c r="I31" i="7" s="1"/>
  <c r="J31" i="7" s="1"/>
  <c r="G31" i="7"/>
  <c r="H30" i="7"/>
  <c r="I30" i="7" s="1"/>
  <c r="J30" i="7" s="1"/>
  <c r="G30" i="7"/>
  <c r="H29" i="7"/>
  <c r="I29" i="7" s="1"/>
  <c r="J29" i="7" s="1"/>
  <c r="G29" i="7"/>
  <c r="H28" i="7"/>
  <c r="I28" i="7" s="1"/>
  <c r="J28" i="7" s="1"/>
  <c r="G28" i="7"/>
  <c r="H27" i="7"/>
  <c r="I27" i="7" s="1"/>
  <c r="J27" i="7" s="1"/>
  <c r="G27" i="7"/>
  <c r="H26" i="7"/>
  <c r="I26" i="7" s="1"/>
  <c r="J26" i="7" s="1"/>
  <c r="G26" i="7"/>
  <c r="H25" i="7"/>
  <c r="I25" i="7" s="1"/>
  <c r="J25" i="7" s="1"/>
  <c r="G25" i="7"/>
  <c r="H24" i="7"/>
  <c r="I24" i="7" s="1"/>
  <c r="J24" i="7" s="1"/>
  <c r="G24" i="7"/>
  <c r="H23" i="7"/>
  <c r="I23" i="7" s="1"/>
  <c r="J23" i="7" s="1"/>
  <c r="G23" i="7"/>
  <c r="H22" i="7"/>
  <c r="I22" i="7" s="1"/>
  <c r="J22" i="7" s="1"/>
  <c r="G22" i="7"/>
  <c r="H21" i="7"/>
  <c r="I21" i="7" s="1"/>
  <c r="J21" i="7" s="1"/>
  <c r="G21" i="7"/>
  <c r="H20" i="7"/>
  <c r="I20" i="7" s="1"/>
  <c r="J20" i="7" s="1"/>
  <c r="G20" i="7"/>
  <c r="H19" i="7"/>
  <c r="I19" i="7" s="1"/>
  <c r="J19" i="7" s="1"/>
  <c r="G19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J18" i="7"/>
  <c r="I18" i="7"/>
  <c r="H18" i="7"/>
  <c r="G18" i="7"/>
  <c r="D18" i="7"/>
  <c r="B54" i="6"/>
  <c r="B53" i="6"/>
  <c r="B52" i="6"/>
  <c r="F35" i="6"/>
  <c r="F36" i="6"/>
  <c r="F37" i="6"/>
  <c r="E26" i="6"/>
  <c r="F21" i="6"/>
  <c r="G21" i="6" s="1"/>
  <c r="F32" i="6" s="1"/>
  <c r="F22" i="6"/>
  <c r="G22" i="6" s="1"/>
  <c r="F23" i="6"/>
  <c r="G23" i="6" s="1"/>
  <c r="F39" i="6" s="1"/>
  <c r="F24" i="6"/>
  <c r="G24" i="6" s="1"/>
  <c r="F43" i="6" s="1"/>
  <c r="F25" i="6"/>
  <c r="G25" i="6" s="1"/>
  <c r="F44" i="6" s="1"/>
  <c r="F20" i="6"/>
  <c r="G20" i="6" s="1"/>
  <c r="F30" i="6" s="1"/>
  <c r="B43" i="5"/>
  <c r="F18" i="5"/>
  <c r="F19" i="5"/>
  <c r="F20" i="5"/>
  <c r="F21" i="5"/>
  <c r="F22" i="5"/>
  <c r="F23" i="5"/>
  <c r="F24" i="5"/>
  <c r="F25" i="5"/>
  <c r="F17" i="5"/>
  <c r="E18" i="5"/>
  <c r="E19" i="5"/>
  <c r="E20" i="5"/>
  <c r="E21" i="5"/>
  <c r="E22" i="5"/>
  <c r="E23" i="5"/>
  <c r="E24" i="5"/>
  <c r="E25" i="5"/>
  <c r="E17" i="5"/>
  <c r="B106" i="4"/>
  <c r="B105" i="4"/>
  <c r="B104" i="4"/>
  <c r="E101" i="4"/>
  <c r="E13" i="4"/>
  <c r="B107" i="4" s="1"/>
  <c r="B108" i="4" s="1"/>
  <c r="C23" i="5" s="1"/>
  <c r="B28" i="5" s="1"/>
  <c r="B29" i="5" s="1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2" i="4"/>
  <c r="E13" i="3"/>
  <c r="F13" i="3" s="1" a="1"/>
  <c r="F13" i="3" s="1"/>
  <c r="E14" i="3"/>
  <c r="F14" i="3" s="1" a="1"/>
  <c r="F14" i="3" s="1"/>
  <c r="E15" i="3"/>
  <c r="F15" i="3" s="1" a="1"/>
  <c r="F15" i="3" s="1"/>
  <c r="E16" i="3"/>
  <c r="F16" i="3" s="1" a="1"/>
  <c r="F16" i="3" s="1"/>
  <c r="E17" i="3"/>
  <c r="E18" i="3"/>
  <c r="F18" i="3" s="1" a="1"/>
  <c r="F18" i="3" s="1"/>
  <c r="E19" i="3"/>
  <c r="F19" i="3" s="1" a="1"/>
  <c r="F19" i="3" s="1"/>
  <c r="E20" i="3"/>
  <c r="F20" i="3" s="1" a="1"/>
  <c r="F20" i="3" s="1"/>
  <c r="E21" i="3"/>
  <c r="F21" i="3" s="1" a="1"/>
  <c r="F21" i="3" s="1"/>
  <c r="E22" i="3"/>
  <c r="F22" i="3" s="1" a="1"/>
  <c r="F22" i="3" s="1"/>
  <c r="E23" i="3"/>
  <c r="F23" i="3" s="1" a="1"/>
  <c r="F23" i="3" s="1"/>
  <c r="E12" i="3"/>
  <c r="E21" i="10"/>
  <c r="D21" i="10"/>
  <c r="C21" i="10"/>
  <c r="E20" i="10"/>
  <c r="D20" i="10"/>
  <c r="C20" i="10"/>
  <c r="E19" i="10"/>
  <c r="D19" i="10"/>
  <c r="C19" i="10"/>
  <c r="E18" i="10"/>
  <c r="D18" i="10"/>
  <c r="C18" i="10"/>
  <c r="E17" i="10"/>
  <c r="D17" i="10"/>
  <c r="C17" i="10"/>
  <c r="E16" i="10"/>
  <c r="D16" i="10"/>
  <c r="C16" i="10"/>
  <c r="E15" i="10"/>
  <c r="D15" i="10"/>
  <c r="C15" i="10"/>
  <c r="E14" i="10"/>
  <c r="D14" i="10"/>
  <c r="C14" i="10"/>
  <c r="E13" i="10"/>
  <c r="D13" i="10"/>
  <c r="C13" i="10"/>
  <c r="E12" i="10"/>
  <c r="D12" i="10"/>
  <c r="C12" i="10"/>
  <c r="E11" i="10"/>
  <c r="D11" i="10"/>
  <c r="C11" i="10"/>
  <c r="E10" i="10"/>
  <c r="D10" i="10"/>
  <c r="C10" i="10"/>
  <c r="F42" i="6" l="1"/>
  <c r="F41" i="6"/>
  <c r="F38" i="6"/>
  <c r="F40" i="6"/>
  <c r="F34" i="6"/>
  <c r="F33" i="6"/>
  <c r="F31" i="6"/>
  <c r="F17" i="3" a="1"/>
  <c r="F17" i="3" s="1"/>
  <c r="F12" i="3" a="1"/>
  <c r="F12" i="3" s="1"/>
  <c r="B31" i="5"/>
  <c r="B30" i="5"/>
  <c r="F45" i="6" l="1"/>
  <c r="B32" i="5"/>
  <c r="B35" i="5"/>
  <c r="B34" i="5"/>
  <c r="B3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<sst xmlns="http://schemas.openxmlformats.org/spreadsheetml/2006/main" count="815" uniqueCount="512">
  <si>
    <t>J-5 수기 검산 워크북</t>
  </si>
  <si>
    <t>코드가 낸 지수를 사람이 원자료부터 손으로 다시 계산해 대조한다 · 룰북 §14 · §18.4</t>
  </si>
  <si>
    <t>■ 이 문서가 하는 일</t>
  </si>
  <si>
    <t xml:space="preserve">  코드가 계산한 값을 사람이 독립적으로 다시 계산합니다. 두 값이 같으면 구현이 규칙대로 작동한다는 증거가 됩니다.</t>
  </si>
  <si>
    <t xml:space="preserve">  다르면 어느 쪽이 틀렸는지 찾습니다. 어느 쪽이든 알아내는 것이 목적입니다.</t>
  </si>
  <si>
    <t>■ 왜 필요한가</t>
  </si>
  <si>
    <t xml:space="preserve">  이미 코드로 독립 재산출을 해서 10개 항목이 일치했습니다. 그러나 그것은 코드가 코드를 검증한 것입니다.</t>
  </si>
  <si>
    <t xml:space="preserve">  두 구현이 같은 규칙을 같이 잘못 이해했다면 둘 다 같은 값을 냅니다. 사람이 손으로 한 번 따라가야 그 경우가 걸러집니다.</t>
  </si>
  <si>
    <t>■ 반드시 지킬 것 — 답을 먼저 보지 않습니다</t>
  </si>
  <si>
    <t xml:space="preserve">  이 파일에는 코드가 낸 값이 하나도 들어 있지 않습니다. 일부러 뺐습니다.</t>
  </si>
  <si>
    <t xml:space="preserve">  답을 옆에 두고 채우면 무의식적으로 맞춰 쓰게 되어(확증편향) 검산이 성립하지 않습니다.</t>
  </si>
  <si>
    <t xml:space="preserve">  코드값은 J5_코드값_봉인.xlsx 에 따로 있습니다. 노란 칸을 전부 채우고 저장한 다음에 여십시오.</t>
  </si>
  <si>
    <t xml:space="preserve">  → 순서: ① 노란 칸 전부 채움  ② 파일 저장  ③ 봉인 파일 열기  ④ 09 대조표에 옮겨 적기</t>
  </si>
  <si>
    <t>색 범례</t>
  </si>
  <si>
    <t>색</t>
  </si>
  <si>
    <t>뜻</t>
  </si>
  <si>
    <t>다루는 법</t>
  </si>
  <si>
    <t>주어진 자료</t>
  </si>
  <si>
    <t>원자료입니다. 고치지 마십시오.</t>
  </si>
  <si>
    <t>계산 칸</t>
  </si>
  <si>
    <t>직접 채웁니다. 엑셀 수식을 써도 됩니다.</t>
  </si>
  <si>
    <t>최종 답 칸</t>
  </si>
  <si>
    <t>그 시트의 결론입니다. 대조표로 옮깁니다.</t>
  </si>
  <si>
    <t>주의</t>
  </si>
  <si>
    <t>틀리기 쉬운 지점입니다. 읽고 진행하십시오.</t>
  </si>
  <si>
    <t>■ 엑셀 수식을 써도 되나요</t>
  </si>
  <si>
    <t xml:space="preserve">  됩니다. 금지되는 것은 우리 프로젝트의 파이썬 코드를 돌리는 것입니다.</t>
  </si>
  <si>
    <t xml:space="preserve">  주어진 원자료에서 엑셀로 평균·정렬·보간을 하는 것은 독립적인 재계산이므로 검산에 해당합니다.</t>
  </si>
  <si>
    <t>검산 기준 — 이 워크북이 무엇을 대상으로 하는지</t>
  </si>
  <si>
    <t>항목</t>
  </si>
  <si>
    <t>값</t>
  </si>
  <si>
    <t>근거</t>
  </si>
  <si>
    <t>유니버스</t>
  </si>
  <si>
    <t>Seed 18 제한 파일럿 (A안)</t>
  </si>
  <si>
    <t>회의 결정 2026-07-28</t>
  </si>
  <si>
    <t>검산 회차</t>
  </si>
  <si>
    <t>2026-06-30</t>
  </si>
  <si>
    <t>자료마감일 2026-06-23</t>
  </si>
  <si>
    <t>대상 산출물</t>
  </si>
  <si>
    <t>data/pilot_run/output_f1</t>
  </si>
  <si>
    <t>F-1 반영본</t>
  </si>
  <si>
    <t>기업행사</t>
  </si>
  <si>
    <t>010120 액면분할 5:1</t>
  </si>
  <si>
    <t>DART 20260205800571</t>
  </si>
  <si>
    <t>조정 경계일</t>
  </si>
  <si>
    <t>2026-04-13 (신주권상장일)</t>
  </si>
  <si>
    <t>효력발생일 2026-04-10 아님</t>
  </si>
  <si>
    <t>지수 기준일 / 기준값</t>
  </si>
  <si>
    <t>2026-04-01 / 1,000</t>
  </si>
  <si>
    <t>D-08</t>
  </si>
  <si>
    <t>적용 규칙 — 2026-07-30 의결분 (파일럿 범위 한정)</t>
  </si>
  <si>
    <t>의결 규칙</t>
  </si>
  <si>
    <t>범위·유보</t>
  </si>
  <si>
    <t>환율 적용시점</t>
  </si>
  <si>
    <t>평가일 당일 ECOS — 지수·미국 BM 동일 적용</t>
  </si>
  <si>
    <t>계열코드 공식성 PROVISIONAL</t>
  </si>
  <si>
    <t>산출일</t>
  </si>
  <si>
    <t>COMMON_OPEN_DAYS_PILOT (한·미 공통 개장일)</t>
  </si>
  <si>
    <t>합집합·가격이월은 후속 적용시험</t>
  </si>
  <si>
    <t>연결 방식</t>
  </si>
  <si>
    <t>CHAIN_REBASE_PILOT (연결계수)</t>
  </si>
  <si>
    <t>이번 구간 미발동 — 정확성 실증 아님</t>
  </si>
  <si>
    <t>액면가 기준 5:1 · 경계일 신주권상장일</t>
  </si>
  <si>
    <t>010120 개별 사건 판정 · 일반화 보류</t>
  </si>
  <si>
    <t>■ 의결됐다고 검산이 필요 없어지는 것은 아닙니다 — 확인할 것이 바뀝니다.</t>
  </si>
  <si>
    <t xml:space="preserve">  의결 전:  룰북에서 규칙을 직접 도출해 보십시오.</t>
  </si>
  <si>
    <t xml:space="preserve">  의결 후:  의결 규칙을 적용하되, 그 규칙이 룰북에서 실제로 도출되는지 확인하십시오.</t>
  </si>
  <si>
    <t xml:space="preserve">  도출되지 않으면 그것이 발견사항입니다. 의결됐다는 이유로 넘기지 마십시오.</t>
  </si>
  <si>
    <t xml:space="preserve">  환율 항목은 QA 보고(당일 환율만 공표 지수를 재현함)가 의결 근거의 일부였습니다.</t>
  </si>
  <si>
    <t xml:space="preserve">  즉 이 항목은 QA 와 완전히 독립적인 확인이 아닙니다. 그 한계를 알고 보십시오.</t>
  </si>
  <si>
    <t>입력 스냅샷 지문 — 이 워크북이 어느 파일을 보고 만들어졌는지</t>
  </si>
  <si>
    <t>파일</t>
  </si>
  <si>
    <t>SHA-256 (앞 16자리)</t>
  </si>
  <si>
    <t>행 수</t>
  </si>
  <si>
    <t>daily_market_state.csv</t>
  </si>
  <si>
    <t>4bc15889822e5032</t>
  </si>
  <si>
    <t>adtv90_ledger.csv</t>
  </si>
  <si>
    <t>89673845cda2d5af</t>
  </si>
  <si>
    <t>constituents_2026-06-30.csv</t>
  </si>
  <si>
    <t>38baa5ce6aede302</t>
  </si>
  <si>
    <t>weights_2026-03-31.csv</t>
  </si>
  <si>
    <t>7b382c2a0aadd5cc</t>
  </si>
  <si>
    <t>index_vs_benchmark.csv</t>
  </si>
  <si>
    <t>f188f3f5fb5a7a75</t>
  </si>
  <si>
    <t>calendar.csv</t>
  </si>
  <si>
    <t>3cbb2c8d960a3c7a</t>
  </si>
  <si>
    <t>fx.csv</t>
  </si>
  <si>
    <t>ef833251ecf38c06</t>
  </si>
  <si>
    <t>※ 나중에 산출물이 바뀌면 이 지문이 달라집니다. 검산 결과가 어느 버전에 대한 것인지 이것으로 특정합니다.</t>
  </si>
  <si>
    <t>작성자 기록</t>
  </si>
  <si>
    <t>작성자</t>
  </si>
  <si>
    <t>시작 일시</t>
  </si>
  <si>
    <t>완료 일시</t>
  </si>
  <si>
    <t>봉인 개봉 일시</t>
  </si>
  <si>
    <t>사용한 도구(엑셀/계산기 등)</t>
  </si>
  <si>
    <t>무엇을 어떤 순서로 검산하는가</t>
  </si>
  <si>
    <t>각 시트는 앞 시트의 결과를 이어받는다. 순서대로 진행하십시오.</t>
  </si>
  <si>
    <t>시트</t>
  </si>
  <si>
    <t>검산 대상</t>
  </si>
  <si>
    <t>사람이 하는 일</t>
  </si>
  <si>
    <t>근거 조항</t>
  </si>
  <si>
    <t>왜 이걸 고르는가</t>
  </si>
  <si>
    <t>02</t>
  </si>
  <si>
    <t>자료마감일</t>
  </si>
  <si>
    <t>선정일에서 공통 개장일 5거래일을 역산</t>
  </si>
  <si>
    <t>룰북 §5.2 · D-13 ⑧</t>
  </si>
  <si>
    <t>미래 정보 차단(PIT)의 출발점. 여기가 틀리면 전부 틀린다.</t>
  </si>
  <si>
    <t>03</t>
  </si>
  <si>
    <t>일별 거래대금</t>
  </si>
  <si>
    <t>미국 종목의 종가×거래량 재구성</t>
  </si>
  <si>
    <t>룰북 제59조 · D-13 ②</t>
  </si>
  <si>
    <t>한국은 거래소가 주고 미국은 우리가 만든다. 만드는 쪽을 검산한다.</t>
  </si>
  <si>
    <t>04</t>
  </si>
  <si>
    <t>ADTV90</t>
  </si>
  <si>
    <t>90개장일 평균. 정지일은 0으로 넣고 분모는 90</t>
  </si>
  <si>
    <t>룰북 §8.1 · D-13 ①</t>
  </si>
  <si>
    <t>결측과 무거래를 같은 0으로 합치지 않는지 확인한다.</t>
  </si>
  <si>
    <t>05</t>
  </si>
  <si>
    <t>P10 · 편입판정</t>
  </si>
  <si>
    <t>8개 값을 정렬하고 선형보간으로 10퍼센타일</t>
  </si>
  <si>
    <t>룰북 §8.1 · §9</t>
  </si>
  <si>
    <t>경계사례가 실제로 갈리는 지점. 구조 문제도 여기서 보인다.</t>
  </si>
  <si>
    <t>06</t>
  </si>
  <si>
    <t>목표비중</t>
  </si>
  <si>
    <t>3테마×2지역 6셀에 1/6씩, 셀 안은 균등</t>
  </si>
  <si>
    <t>D-04 ② · D-10 ①②</t>
  </si>
  <si>
    <t>합이 정확히 1이 되는지, 셀 집중도가 어떻게 되는지.</t>
  </si>
  <si>
    <t>07</t>
  </si>
  <si>
    <t>지수 레벨</t>
  </si>
  <si>
    <t>기준일 대비 가중 수익률 합</t>
  </si>
  <si>
    <t>룰북 §13 · D-08</t>
  </si>
  <si>
    <t>최종 산출물. 여기까지 맞으면 파이프라인 전체가 맞다.</t>
  </si>
  <si>
    <t>08</t>
  </si>
  <si>
    <t>분할 효과</t>
  </si>
  <si>
    <t>010120을 5:1 반영했을 때와 아닐 때의 차이</t>
  </si>
  <si>
    <t>데이터사전 4.1 · D-07</t>
  </si>
  <si>
    <t>성과 숫자가 왜 6.66%p 틀렸는지 직접 확인한다.</t>
  </si>
  <si>
    <t>■ 표본을 이렇게 고른 이유 (룰북 §18.2 — 경계사례를 포함할 것)</t>
  </si>
  <si>
    <t xml:space="preserve">  ADTV90 대상 KTOS: 미국 종목이라 거래대금을 우리가 재구성한다. 그리고 분포의 최솟값이라 편입 판정이 실제로 갈린다.</t>
  </si>
  <si>
    <t xml:space="preserve">  기업행사 010120: 파일럿 구간의 유일한 기업행사이고, 거래정지 3일과 분할이 겹쳐 있다.</t>
  </si>
  <si>
    <t xml:space="preserve">  회차 2026-06-30: 3/31 회차는 전 종목이 여유롭게 통과해 경계가 없다. 6/30이 검산 가치가 있다.</t>
  </si>
  <si>
    <t>자료마감일 — 선정일 이전 제5거래일</t>
  </si>
  <si>
    <t>룰북 §5.2 · D-13 ⑧ · 축은 한·미 공통 개장일</t>
  </si>
  <si>
    <t>■ 규칙</t>
  </si>
  <si>
    <t>■ 할 일 — 선정일 2026-06-30 에서 5거래일 앞으로 세어 자료마감일을 구하십시오.</t>
  </si>
  <si>
    <t>달력 — 선정일 부근 (공통 개장일만 추린 것이 아니라 원본 그대로입니다)</t>
  </si>
  <si>
    <t>날짜</t>
  </si>
  <si>
    <t>한국 개장</t>
  </si>
  <si>
    <t>미국 개장</t>
  </si>
  <si>
    <t>공통 개장일?</t>
  </si>
  <si>
    <t>며칠 전?</t>
  </si>
  <si>
    <t>메모</t>
  </si>
  <si>
    <t>2026-06-15</t>
  </si>
  <si>
    <t>O</t>
  </si>
  <si>
    <t>2026-06-16</t>
  </si>
  <si>
    <t>2026-06-17</t>
  </si>
  <si>
    <t>2026-06-18</t>
  </si>
  <si>
    <t>2026-06-19</t>
  </si>
  <si>
    <t>-</t>
  </si>
  <si>
    <t>2026-06-22</t>
  </si>
  <si>
    <t>2026-06-23</t>
  </si>
  <si>
    <t>2026-06-24</t>
  </si>
  <si>
    <t>2026-06-25</t>
  </si>
  <si>
    <t>2026-06-26</t>
  </si>
  <si>
    <t>2026-06-29</t>
  </si>
  <si>
    <t>답</t>
  </si>
  <si>
    <t>← 이 값을 09 대조표로 옮깁니다</t>
  </si>
  <si>
    <t>■ 틀리기 쉬운 곳</t>
  </si>
  <si>
    <t xml:space="preserve">  선정일을 1거래일 전으로 세면 하루 밀립니다. 선정일 다음이 아니라 그 앞이 1거래일 전입니다.</t>
  </si>
  <si>
    <t xml:space="preserve">  한쪽 시장만 열린 날을 세면 결과가 달라집니다. 실제로 이 구간에 그런 날이 있는지 확인해 보십시오.</t>
  </si>
  <si>
    <t>KTOS 의 ADTV90 — 90개장일 평균 거래대금</t>
  </si>
  <si>
    <t>룰북 제59조(거래대금 원천) · §8.1(ADTV90) · D-13 ①(정지일 0 반영)</t>
  </si>
  <si>
    <t>■ 규칙 두 가지</t>
  </si>
  <si>
    <t xml:space="preserve">  ① 거래대금: 한국은 거래소가 제공한 값을 그대로 씁니다. 미국은 제공값이 없어 종가 × 거래량으로 재구성합니다.</t>
  </si>
  <si>
    <t xml:space="preserve">     KTOS는 미국 종목이므로 재구성 대상입니다. D열을 직접 계산하십시오.</t>
  </si>
  <si>
    <t xml:space="preserve">  ② 평균: 관측창은 자료마감일부터 뒤로 90 개장일입니다. 거래정지일은 0으로 넣고 분모에서 빼지 않습니다(분모 90).</t>
  </si>
  <si>
    <t xml:space="preserve">     결측(자료를 못 구한 날)은 다릅니다. 결측은 분모에서 뺍니다. 둘을 같은 0으로 합치면 안 됩니다.</t>
  </si>
  <si>
    <t>원자료 — 2026-02-12 ~ 2026-06-23 (미국 개장일 90일)</t>
  </si>
  <si>
    <t>종가(USD)</t>
  </si>
  <si>
    <t>거래량(주)</t>
  </si>
  <si>
    <t>거래대금(직접 계산)</t>
  </si>
  <si>
    <t>상태코드</t>
  </si>
  <si>
    <t>2026-02-12</t>
  </si>
  <si>
    <t>TRADED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</si>
  <si>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</si>
  <si>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</si>
  <si>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</si>
  <si>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</si>
  <si>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</si>
  <si>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</si>
  <si>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</si>
  <si>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</si>
  <si>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</si>
  <si>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</si>
  <si>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</si>
  <si>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</si>
  <si>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</si>
  <si>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</si>
  <si>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</si>
  <si>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</si>
  <si>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</si>
  <si>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</si>
  <si>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</si>
  <si>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</si>
  <si>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</si>
  <si>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</si>
  <si>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</si>
  <si>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</si>
  <si>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</si>
  <si>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</si>
  <si>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</si>
  <si>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</si>
  <si>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</si>
  <si>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</si>
  <si>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</si>
  <si>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</si>
  <si>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</si>
  <si>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</si>
  <si>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</si>
  <si>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</si>
  <si>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</si>
  <si>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</si>
  <si>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</si>
  <si>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</si>
  <si>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</si>
  <si>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</si>
  <si>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</si>
  <si>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</si>
  <si>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</si>
  <si>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</si>
  <si>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</si>
  <si>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</si>
  <si>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</si>
  <si>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</si>
  <si>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</si>
  <si>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</si>
  <si>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</si>
  <si>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</si>
  <si>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</si>
  <si>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</si>
  <si>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</si>
  <si>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</si>
  <si>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</si>
  <si>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</si>
  <si>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</si>
  <si>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</si>
  <si>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</si>
  <si>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</si>
  <si>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</si>
  <si>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</si>
  <si>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</si>
  <si>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</si>
  <si>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</si>
  <si>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</si>
  <si>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</si>
  <si>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</si>
  <si>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</si>
  <si>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</si>
  <si>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</si>
  <si>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</si>
  <si>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</si>
  <si>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</si>
  <si>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</si>
  <si>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</si>
  <si>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</si>
  <si>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</si>
  <si>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</si>
  <si>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집계</t>
  </si>
  <si>
    <t>관측 개장일수 (분모가 되는 수)</t>
  </si>
  <si>
    <t>위 표의 행 수</t>
  </si>
  <si>
    <t>그중 거래정지일 수</t>
  </si>
  <si>
    <t>상태코드가 TRADING_HALT 인 날</t>
  </si>
  <si>
    <t>그중 결측일 수</t>
  </si>
  <si>
    <t>자료 자체가 없는 날 — 분모에서 뺄 대상</t>
  </si>
  <si>
    <t>거래대금 합계</t>
  </si>
  <si>
    <t>E12:E101 의 합</t>
  </si>
  <si>
    <t>ADTV90 = 합계 ÷ 분모</t>
  </si>
  <si>
    <t>분모를 무엇으로 잡았는지 메모에 적으십시오</t>
  </si>
  <si>
    <t>■ 스스로 점검할 것</t>
  </si>
  <si>
    <t xml:space="preserve">  분모를 90으로 했습니까, 아니면 정지일을 뺀 수로 했습니까? 규칙은 90입니다. 왜 그런지 설명할 수 있습니까?</t>
  </si>
  <si>
    <t xml:space="preserve">  만약 정지일을 분모에서 뺐다면 ADTV90이 커집니다. 편입 판정이 뒤집힐 수 있습니다. 다음 시트에서 확인됩니다.</t>
  </si>
  <si>
    <t>P10 하한과 편입 판정</t>
  </si>
  <si>
    <t>룰북 §8.1(분포·하한) · §9(편입) · 선형보간</t>
  </si>
  <si>
    <t xml:space="preserve">  같은 시장 안에서 ADTV90이 산출된 종목들을 모아 10퍼센타일을 구합니다. 그보다 낮으면 유동성 미달로 제외합니다.</t>
  </si>
  <si>
    <t xml:space="preserve">  시즈닝(상장 후 유효관측 90일)을 못 채운 종목은 ADTV90 자체가 산출되지 않아 분포에서 빠집니다.</t>
  </si>
  <si>
    <t>■ 선형보간으로 퍼센타일 구하는 법</t>
  </si>
  <si>
    <t xml:space="preserve">  값을 작은 순으로 정렬하고 0부터 번호를 붙입니다. 위치 h = (n − 1) × (백분위 ÷ 100).</t>
  </si>
  <si>
    <t xml:space="preserve">  h가 정수가 아니면 아래위 두 값 사이를 비례로 나눕니다.  값 = x[내림] + (h − 내림) × (x[올림] − x[내림])</t>
  </si>
  <si>
    <t>■ 할 일 — 아래 미국 종목 분포에서 P10을 구하고 KTOS의 편입 여부를 판정하십시오.</t>
  </si>
  <si>
    <t xml:space="preserve">  KTOS 칸은 비어 있습니다. 앞 시트에서 직접 계산한 값을 넣으십시오.</t>
  </si>
  <si>
    <t>미국 시장 ADTV90 분포 — 검산 대상 종목만 비워 두었습니다</t>
  </si>
  <si>
    <t>종목</t>
  </si>
  <si>
    <t>ADTV90 (USD)</t>
  </si>
  <si>
    <t>시즈닝</t>
  </si>
  <si>
    <t>정렬 후 순번</t>
  </si>
  <si>
    <t>ALAB</t>
  </si>
  <si>
    <t>SEASONED</t>
  </si>
  <si>
    <t>ANET</t>
  </si>
  <si>
    <t>APH</t>
  </si>
  <si>
    <t>ATI</t>
  </si>
  <si>
    <t>ETN</t>
  </si>
  <si>
    <t>GEV</t>
  </si>
  <si>
    <t>KTOS</t>
  </si>
  <si>
    <t>← 03-04 시트에서 직접 계산한 값</t>
  </si>
  <si>
    <t>TER</t>
  </si>
  <si>
    <t>SPCX</t>
  </si>
  <si>
    <t>(산출 안 됨)</t>
  </si>
  <si>
    <t>SEASONING_INCOMPLETE</t>
  </si>
  <si>
    <t>분포에 넣을지 판단하십시오</t>
  </si>
  <si>
    <t>계산</t>
  </si>
  <si>
    <t>분포에 들어간 종목 수 n</t>
  </si>
  <si>
    <t>ADTV90이 산출된 종목만</t>
  </si>
  <si>
    <t>보간 위치 h = (n−1) × 0.10</t>
  </si>
  <si>
    <t>소수로 나옵니다</t>
  </si>
  <si>
    <t>h 아래 정수 위치의 값</t>
  </si>
  <si>
    <t>정렬 후 x[내림]</t>
  </si>
  <si>
    <t>h 위 정수 위치의 값</t>
  </si>
  <si>
    <t>정렬 후 x[올림]</t>
  </si>
  <si>
    <t>P10 하한</t>
  </si>
  <si>
    <t>위 보간식을 적용</t>
  </si>
  <si>
    <t>KTOS 편입 여부</t>
  </si>
  <si>
    <t>P10 이상이면 편입, 미만이면 제외</t>
  </si>
  <si>
    <t>KTOS의 P10 대비 차이(%)</t>
  </si>
  <si>
    <t>(ADTV90 ÷ P10 − 1) × 100</t>
  </si>
  <si>
    <t>P10 미만인 종목 수</t>
  </si>
  <si>
    <t>몇 개나 떨어졌습니까?</t>
  </si>
  <si>
    <t>■ 다 구한 뒤에 생각해 볼 것 — 이것이 발표에서 쓸 내용입니다</t>
  </si>
  <si>
    <t xml:space="preserve">  h를 계산해 보면 0과 1 사이입니다. 그러면 P10은 항상 '가장 작은 값'과 '두 번째로 작은 값' 사이에 놓입니다.</t>
  </si>
  <si>
    <t xml:space="preserve">  즉 P10 미만인 종목은 언제나 정확히 한 개입니다. 그 종목의 거래대금이 크든 작든 상관없습니다.</t>
  </si>
  <si>
    <t xml:space="preserve">  → 지금 규칙은 '유동성이 일정 수준 미만이면 제외'가 아니라 '가장 낮은 하나를 제외'로 작동하고 있습니다.</t>
  </si>
  <si>
    <t>두 개 이상 떨어지려면 필요한 최소 n</t>
  </si>
  <si>
    <t>6셀 구조와 목표비중</t>
  </si>
  <si>
    <t>D-04 ②(테마 1:1:1) · D-10 ①(지역 50:50) · D-10 ②(6셀 각 1/6)</t>
  </si>
  <si>
    <t xml:space="preserve">  테마 3개(우주방산·AI로보틱스·에너지전력)에 각각 1/3, 지역 2개(한국·미국)에 각각 1/2.</t>
  </si>
  <si>
    <t xml:space="preserve">  두 조건을 함께 만족하도록 3×2 = 6개 셀에 각 1/6씩 배분합니다.</t>
  </si>
  <si>
    <t xml:space="preserve">  셀 안에서는 편입된 종목끼리 균등하게 나눕니다. 셀에 1종목뿐이면 그 종목이 1/6을 전부 갖습니다.</t>
  </si>
  <si>
    <t>■ 할 일 — 각 셀의 편입 종목 수를 세고, 종목별 목표비중을 계산하십시오.</t>
  </si>
  <si>
    <t>■ 주의 — 여기서 쓰는 회차는 05 시트와 다릅니다. 헷갈리기 쉬운 지점입니다.</t>
  </si>
  <si>
    <t xml:space="preserve">  05 시트는 2026-06-30 회차의 편입 판정이었습니다. 그 결과는 '다음 구간'에 적용될 것입니다.</t>
  </si>
  <si>
    <t xml:space="preserve">  지금 지수 산출구간(2026-04-01~06-30)에 실제로 적용된 것은 2026-03-31 회차 선정분입니다.</t>
  </si>
  <si>
    <t xml:space="preserve">  그래서 이 시트는 3/31 회차를 씁니다. 07 시트의 지수 계산도 이 비중을 씁니다.</t>
  </si>
  <si>
    <t xml:space="preserve">  → 선정일과 적용일은 다릅니다. 6/30 선정분은 적용일이 이 구간 밖이라 지수에 들어가지 않았습니다.</t>
  </si>
  <si>
    <t xml:space="preserve">  → 참고로 룰북 245행은 적용일 세부 규칙을 아직 후속과제로 두고 있습니다. 산출물에 effective_date 열이 없습니다.</t>
  </si>
  <si>
    <t>셀별 집계</t>
  </si>
  <si>
    <t>셀</t>
  </si>
  <si>
    <t>테마</t>
  </si>
  <si>
    <t>지역</t>
  </si>
  <si>
    <t>셀 목표비중</t>
  </si>
  <si>
    <t>편입 종목수</t>
  </si>
  <si>
    <t>종목당 비중</t>
  </si>
  <si>
    <t>KR_AI_ROBOTICS</t>
  </si>
  <si>
    <t>AI_ROBOTICS</t>
  </si>
  <si>
    <t>KR</t>
  </si>
  <si>
    <t>KR_ENERGY_POWER</t>
  </si>
  <si>
    <t>ENERGY_POWER</t>
  </si>
  <si>
    <t>KR_SPACE_DEFENSE</t>
  </si>
  <si>
    <t>SPACE_DEFENSE</t>
  </si>
  <si>
    <t>US_AI_ROBOTICS</t>
  </si>
  <si>
    <t>US</t>
  </si>
  <si>
    <t>US_ENERGY_POWER</t>
  </si>
  <si>
    <t>US_SPACE_DEFENSE</t>
  </si>
  <si>
    <t>합계</t>
  </si>
  <si>
    <t>정확히 1.000000 이어야 합니다</t>
  </si>
  <si>
    <t>종목별 목표비중 — 편입 종목 전체</t>
  </si>
  <si>
    <t>064400</t>
  </si>
  <si>
    <t>307950</t>
  </si>
  <si>
    <t>010120</t>
  </si>
  <si>
    <t>267260</t>
  </si>
  <si>
    <t>298040</t>
  </si>
  <si>
    <t>012450</t>
  </si>
  <si>
    <t>064350</t>
  </si>
  <si>
    <t>079550</t>
  </si>
  <si>
    <t>■ 다 구한 뒤에 생각해 볼 것</t>
  </si>
  <si>
    <t xml:space="preserve">  가장 큰 비중을 가진 종목은 몇 퍼센트입니까? 다른 종목의 몇 배입니까?</t>
  </si>
  <si>
    <t xml:space="preserve">  그 셀에 종목이 몇 개 있습니까? 그 종목이 다음 회차에 빠지면 그 셀은 어떻게 됩니까?</t>
  </si>
  <si>
    <t xml:space="preserve">  → 지금 규칙에는 개별종목 상한이 없고 셀 최소 종목수도 정해져 있지 않습니다.</t>
  </si>
  <si>
    <t>최대 비중 종목</t>
  </si>
  <si>
    <t>그 비중(%)</t>
  </si>
  <si>
    <t>그 셀의 종목 수</t>
  </si>
  <si>
    <t>지수 레벨 — 2026-04-07</t>
  </si>
  <si>
    <t>룰북 §13 · D-08 · 기준일 2026-04-01 = 1,000 · 원화 · 무헤지</t>
  </si>
  <si>
    <t xml:space="preserve">  구간 시작일 가격 대비 현재 가격의 비율을 종목마다 구하고, 목표비중을 곱해 모두 더합니다.</t>
  </si>
  <si>
    <t xml:space="preserve">  거기에 기준값 1,000을 곱하면 지수 레벨입니다.</t>
  </si>
  <si>
    <t xml:space="preserve">  미국 종목은 그날의 환율로 원화로 바꾼 뒤에 비율을 계산합니다. 환율도 날마다 다릅니다.</t>
  </si>
  <si>
    <t xml:space="preserve">      지수 = 1000 × Σ ( 목표비중 × 당일가격(원) ÷ 기준일가격(원) )</t>
  </si>
  <si>
    <t>■ 할 일 — 2026-04-07 의 지수 레벨을 구하십시오. (분할 이전 날짜라 기업행사 문제는 없습니다)</t>
  </si>
  <si>
    <t xml:space="preserve">  목표비중(D열)은 주어져 있지 않습니다. 06 시트에서 직접 계산한 값을 옮겨 적으십시오.</t>
  </si>
  <si>
    <t>환율 (ECOS 매매기준율, 평가일 당일 적용)</t>
  </si>
  <si>
    <t>기준일 2026-04-01</t>
  </si>
  <si>
    <t>검산일 2026-04-07</t>
  </si>
  <si>
    <t>기준일 종가</t>
  </si>
  <si>
    <t>검산일 종가</t>
  </si>
  <si>
    <t>기준일 가격(원)</t>
  </si>
  <si>
    <t>검산일 가격(원)</t>
  </si>
  <si>
    <t>가격비</t>
  </si>
  <si>
    <t>비중×가격비</t>
  </si>
  <si>
    <t>2026-04-07 지수 레벨 = 1000 × 합계</t>
  </si>
  <si>
    <t xml:space="preserve">  한국 종목에 환율을 곱하면 안 됩니다. 이미 원화입니다.</t>
  </si>
  <si>
    <t xml:space="preserve">  미국 종목은 기준일과 검산일에 서로 다른 환율을 씁니다. 같은 환율을 쓰면 환율 변동분이 사라집니다.</t>
  </si>
  <si>
    <t xml:space="preserve">  비중은 소수점 아래가 깁니다(1/18 = 0.055556). 반올림하면 합계가 어긋납니다.</t>
  </si>
  <si>
    <t>010120 액면분할 5:1 — 반영했을 때와 안 했을 때</t>
  </si>
  <si>
    <t>데이터사전 4.1 · D-07 · DART 20260205800493 / 20260205800571(정정)</t>
  </si>
  <si>
    <t>■ 무슨 일이 있었나</t>
  </si>
  <si>
    <t xml:space="preserve">  2026-02-05 이사회에서 1주를 5주로 쪼개기로 결정했습니다(액면가 5,000원 → 1,000원).</t>
  </si>
  <si>
    <t xml:space="preserve">  2026-04-08~10 사흘간 거래가 정지됐고 04-13에 재개됐습니다.</t>
  </si>
  <si>
    <t xml:space="preserve">  재산은 그대로인데 주가 숫자만 1/5이 됩니다. 이것을 반영하지 않으면 주가가 폭락한 것처럼 보입니다.</t>
  </si>
  <si>
    <t>■ 조정 방법 (데이터사전 4.1)</t>
  </si>
  <si>
    <t xml:space="preserve">  효력일(2026-04-13) '이전' 가격을 분할비율 5로 나눕니다. 이후 가격은 그대로 둡니다.</t>
  </si>
  <si>
    <t xml:space="preserve">  거래정지 기간의 가격도 분할 전 기준이므로 함께 나눕니다.</t>
  </si>
  <si>
    <t>■ 할 일 — 아래 두 열을 채우고 04-13의 수익률을 두 가지로 구해 비교하십시오.</t>
  </si>
  <si>
    <t>원종가</t>
  </si>
  <si>
    <t>분할조정 종가</t>
  </si>
  <si>
    <t>전일대비 수익률</t>
  </si>
  <si>
    <t>TRADING_HALT</t>
  </si>
  <si>
    <t>04-13 수익률 비교</t>
  </si>
  <si>
    <t>① 조정 안 했을 때 (원종가 그대로)</t>
  </si>
  <si>
    <t>179,200 ÷ 788,000 − 1</t>
  </si>
  <si>
    <t>② 조정 했을 때</t>
  </si>
  <si>
    <t>179,200 ÷ (788,000÷5) − 1</t>
  </si>
  <si>
    <t>③ 차이 (① − ②)</t>
  </si>
  <si>
    <t>이만큼이 실재하지 않는 하락입니다</t>
  </si>
  <si>
    <t>④ 지수에 준 영향 = ③ × 010120 목표비중</t>
  </si>
  <si>
    <t>비중은 06 시트에서</t>
  </si>
  <si>
    <t>■ 자기 점검 — 여기가 가장 중요합니다</t>
  </si>
  <si>
    <t xml:space="preserve">  조정한 뒤 04-13의 수익률이 0% 가 나왔다면 두 번 나눈 것입니다(과보정). 다시 확인하십시오.</t>
  </si>
  <si>
    <t xml:space="preserve">  올바르게 조정하면 04-13은 '플러스' 수익률이 나옵니다. 분할 기준가보다 높게 거래가 재개됐기 때문입니다.</t>
  </si>
  <si>
    <t xml:space="preserve">  → 실제 시장이 분할을 호재로 봤다는 뜻이고, 그것이 진짜 정보입니다. 조정 전 숫자는 그것을 지워버립니다.</t>
  </si>
  <si>
    <t>■ 조정 경계일을 04-10(효력발생일)으로 잡으면 어떻게 됩니까?</t>
  </si>
  <si>
    <t xml:space="preserve">  공시에는 신주 효력발생일이 04-10, 신주권상장일이 04-13으로 따로 적혀 있습니다.</t>
  </si>
  <si>
    <t xml:space="preserve">  04-10을 경계로 잡으면 정지 기간의 가격이 조정되지 않아 왜곡이 04-13에서 04-10으로 자리만 옮깁니다.</t>
  </si>
  <si>
    <t xml:space="preserve">  → 가격 계열에서는 거래가 실제로 재개된 04-13이 경계입니다. 직접 확인해 보십시오.</t>
  </si>
  <si>
    <t>수기값 · 코드값 대조표</t>
  </si>
  <si>
    <t>노란 칸을 전부 채우고 저장한 뒤에 J5_코드값_봉인.xlsx 를 열어 F열을 채웁니다</t>
  </si>
  <si>
    <t>■ 순서</t>
  </si>
  <si>
    <t xml:space="preserve">  ① 앞 시트의 답 칸을 E열에 옮겨 적습니다.  ② 이 파일을 저장합니다.</t>
  </si>
  <si>
    <t xml:space="preserve">  ③ 그 다음에 봉인 파일을 열어 F열을 채웁니다.  ④ G열에 일치 여부를 고릅니다.</t>
  </si>
  <si>
    <t xml:space="preserve">  불일치가 나오면 반드시 H열에 원인을 적습니다. 불일치를 지우지 마십시오 — 그것이 검산의 성과입니다.</t>
  </si>
  <si>
    <t>검산 항목</t>
  </si>
  <si>
    <t>단위</t>
  </si>
  <si>
    <t>수기값</t>
  </si>
  <si>
    <t>코드값</t>
  </si>
  <si>
    <t>판정</t>
  </si>
  <si>
    <t>불일치 원인 / 메모</t>
  </si>
  <si>
    <t>A</t>
  </si>
  <si>
    <t>B</t>
  </si>
  <si>
    <t>03-04</t>
  </si>
  <si>
    <t>KTOS ADTV90</t>
  </si>
  <si>
    <t>USD</t>
  </si>
  <si>
    <t>C</t>
  </si>
  <si>
    <t>ADTV90 분모(개장일수)</t>
  </si>
  <si>
    <t>일</t>
  </si>
  <si>
    <t>D</t>
  </si>
  <si>
    <t>미국 P10 하한</t>
  </si>
  <si>
    <t>E</t>
  </si>
  <si>
    <t>편입/제외</t>
  </si>
  <si>
    <t>F</t>
  </si>
  <si>
    <t>P10 미만 종목 수</t>
  </si>
  <si>
    <t>개</t>
  </si>
  <si>
    <t>G</t>
  </si>
  <si>
    <t>2종목 이상 탈락에 필요한 최소 n</t>
  </si>
  <si>
    <t>H</t>
  </si>
  <si>
    <t>목표비중 합계 (3/31 회차)</t>
  </si>
  <si>
    <t>비율</t>
  </si>
  <si>
    <t>I</t>
  </si>
  <si>
    <t>최대 비중 종목의 비중 (3/31 회차)</t>
  </si>
  <si>
    <t>%</t>
  </si>
  <si>
    <t>J</t>
  </si>
  <si>
    <t>2026-04-07 지수 레벨</t>
  </si>
  <si>
    <t>포인트</t>
  </si>
  <si>
    <t>K</t>
  </si>
  <si>
    <t>04-13 조정 전 수익률</t>
  </si>
  <si>
    <t>L</t>
  </si>
  <si>
    <t>04-13 조정 후 수익률</t>
  </si>
  <si>
    <t>종합</t>
  </si>
  <si>
    <t>일치 항목 수</t>
  </si>
  <si>
    <t>불일치 항목 수</t>
  </si>
  <si>
    <t>검산 결론 (한 문장)</t>
  </si>
  <si>
    <t>발표용 요약 — 채우고 나면 이 시트를 그대로 쓸 수 있습니다</t>
  </si>
  <si>
    <t>무엇을 검증했고 무엇이 확인됐는지 한 장으로 보여 주는 용도</t>
  </si>
  <si>
    <t>■ 이 시트의 쓰임</t>
  </si>
  <si>
    <t xml:space="preserve">  대조표를 채운 뒤 결과를 여기에 옮기면 발표 슬라이드 한 장이 됩니다.</t>
  </si>
  <si>
    <t xml:space="preserve">  성과 숫자가 아니라 '우리 숫자를 어디까지 믿을 수 있는지'를 보여 주는 자료입니다.</t>
  </si>
  <si>
    <t>검증 결과</t>
  </si>
  <si>
    <t>검증한 것</t>
  </si>
  <si>
    <t>이 항목이 확인해 주는 것</t>
  </si>
  <si>
    <t>미래 정보가 섞이지 않았다 (PIT)</t>
  </si>
  <si>
    <t>미국 거래대금 재구성이 제59조대로 되었다</t>
  </si>
  <si>
    <t>정지일과 결측일을 다르게 처리했다 (R6)</t>
  </si>
  <si>
    <t>유동성 하한이 규칙대로 산출되었다</t>
  </si>
  <si>
    <t>경계 종목의 판정이 임의적이지 않다</t>
  </si>
  <si>
    <t>지금 규칙이 매 회차 정확히 1종목을 제외한다</t>
  </si>
  <si>
    <t>그 성질이 표본 크기에서 나온 것이다</t>
  </si>
  <si>
    <t>비중 합이 정확히 1이다</t>
  </si>
  <si>
    <t>개별종목 집중도가 어느 수준인지</t>
  </si>
  <si>
    <t>최종 지수값이 규칙대로 산출되었다</t>
  </si>
  <si>
    <t>기업행사 미반영 시 얼마나 왜곡되는지</t>
  </si>
  <si>
    <t>조정 후 값이 실제 시장 반응과 맞는지</t>
  </si>
  <si>
    <t>■ 발표에서 말할 문장 (검산 결과에 맞게 고쳐 쓰십시오)</t>
  </si>
  <si>
    <t xml:space="preserve">  우리는 코드가 낸 지수를 사람이 원자료부터 손으로 다시 계산해 대조했습니다.</t>
  </si>
  <si>
    <t xml:space="preserve">  자료마감일, 거래대금 재구성, ADTV90, 유동성 하한, 목표비중, 지수 레벨까지 12개 항목입니다.</t>
  </si>
  <si>
    <t xml:space="preserve">  이 과정에서 규칙 자체의 성질도 확인했습니다 — 지금의 유동성 하한은 후보군이 작아서</t>
  </si>
  <si>
    <t xml:space="preserve">  매 회차 가장 낮은 한 종목만 제외하는 방식으로 작동합니다. 이것은 알고 채택한 것입니다.</t>
  </si>
  <si>
    <t>■ 하지 말아야 할 말</t>
  </si>
  <si>
    <t xml:space="preserve">  '검산이 맞았으니 성과도 믿을 만하다' — 검산은 계산이 규칙대로 되었는지만 말합니다.</t>
  </si>
  <si>
    <t xml:space="preserve">  성과의 유의성은 표본 58일, 추적오차 33%로 통계적으로 판정할 수 없습니다. 이 둘은 다른 이야기입니다.</t>
  </si>
  <si>
    <t>TRADED</t>
    <phoneticPr fontId="8" type="noConversion"/>
  </si>
  <si>
    <t> ⑧ 달력 잠정 + 축 구분 | 자료마감일(data_cutoff_date) = 선정일 이전 제5거래일, 거래일은 한·미 공통 개장일 기준 역산(근거: 회차당 단일 t* 스키마 정합, 효력발생일과 달력축 대칭). 검토 대안(시장별 역산)은 마감일 이원화로 미채택. 축 구분 명문화: 공통 거래일 축 = 자료마감·선정·효력발생 / 시장별 개장일 축 = ADTV90 90거래일·주별 관측. 정식 확정은 #30 적용시험 후(확인 항목: 회차별 공통 제5거래일, 시장별과의 날짜 차이, 기준별 이용가능률, 신규 HOLD 자료, 영향 종목·회차) |</t>
  </si>
  <si>
    <t xml:space="preserve">  → 종목 수가 몇 개가 되어야 두 개 이상 떨어질 수 있습니까? h ≥ 1 이 되는 n을 구해 보십시오.값: 2026-06-23
근거: 결정로그 323행 D-13 ⑧ — "선정일 이전 제5거래일, 한·미 공통 개장일 기준 역산"
      "이전"이 선정일을 제외하므로 6/29부터 1,2,3,4,5 를 세어 6/23.
한계: 조문이 기산점(선정일을 0으로 볼지)을 명시하지 않았다. "이전"이라는
      전치사로 추론했다. 조문 자체가 "정식 확정은 #30 적용시험 후"로
      잠정 표기돼 있다.
제안: 데이터사전에 "기산점 = 선정일 당일 제외" 를 명문화할 것.
      또는 조문을 "선정일 직전 거래일을 제1거래일로 하여 역산한 제5거래일" 로 정정.</t>
    <phoneticPr fontId="8" type="noConversion"/>
  </si>
  <si>
    <t xml:space="preserve">  선정일 당일은 세지 않습니다. 선정일 바로 앞 개장일이 1거래일 전입니다.</t>
    <phoneticPr fontId="8" type="noConversion"/>
  </si>
  <si>
    <t xml:space="preserve">  한국과 미국이 모두 열린 날만 셉니다. 한쪽만 열린 날은 건너뜁니다.</t>
    <phoneticPr fontId="8" type="noConversion"/>
  </si>
  <si>
    <t>값: 2026-06-23
근거: 결정로그 323행 D-13 ⑧ — "선정일 이전 제5거래일, 한·미 공통 개장일 기준 역산"
      "이전"이 선정일을 제외하므로 6/29부터 1,2,3,4,5 를 세어 6/23.
한계: 조문이 기산점(선정일을 0으로 볼지)을 명시하지 않았다. "이전"이라는
      전치사로 추론했다. 조문 자체가 "정식 확정은 #30 적용시험 후"로
      잠정 표기돼 있다.
제안: 데이터사전에 "기산점 = 선정일 당일 제외" 를 명문화할 것.
      또는 조문을 "선정일 직전 거래일을 제1거래일로 하여 역산한 제5거래일" 로 정정.</t>
    <phoneticPr fontId="8" type="noConversion"/>
  </si>
  <si>
    <t>분포 포함?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</si>
</sst>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#,##0.0"/>
    <numFmt numFmtId="178" formatCode="#,##0.0000"/>
    <numFmt numFmtId="184" formatCode="#,##0.00_ "/>
  </numFmts>
  <fonts count="12" x14ac:knownFonts="1">
    <font>
      <sz val="11"/>
      <color theme="1"/>
      <name val="맑은 고딕"/>
      <family val="2"/>
      <scheme val="minor"/>
    </font>
    <font>
      <b/>
      <sz val="16"/>
      <color rgb="FF1E2761"/>
      <name val="맑은 고딕"/>
    </font>
    <font>
      <sz val="10"/>
      <color rgb="FF5A5A55"/>
      <name val="맑은 고딕"/>
    </font>
    <font>
      <sz val="10"/>
      <name val="맑은 고딕"/>
    </font>
    <font>
      <sz val="9"/>
      <color rgb="FF6B6B66"/>
      <name val="맑은 고딕"/>
    </font>
    <font>
      <b/>
      <sz val="11"/>
      <color rgb="FF1E2761"/>
      <name val="맑은 고딕"/>
    </font>
    <font>
      <b/>
      <sz val="10"/>
      <color rgb="FFFFFFFF"/>
      <name val="맑은 고딕"/>
    </font>
    <font>
      <b/>
      <sz val="11"/>
      <name val="맑은 고딕"/>
    </font>
    <font>
      <sz val="8"/>
      <name val="맑은 고딕"/>
      <family val="3"/>
      <charset val="129"/>
      <scheme val="minor"/>
    </font>
    <font>
      <sz val="9"/>
      <color rgb="FF6B6B66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color rgb="FFFFFFFF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7F7F4"/>
      </patternFill>
    </fill>
    <fill>
      <patternFill patternType="solid">
        <fgColor rgb="FFFDE8E6"/>
      </patternFill>
    </fill>
    <fill>
      <patternFill patternType="solid">
        <fgColor rgb="FF1E2761"/>
      </patternFill>
    </fill>
    <fill>
      <patternFill patternType="solid">
        <fgColor rgb="FFEFEFE9"/>
      </patternFill>
    </fill>
    <fill>
      <patternFill patternType="solid">
        <fgColor rgb="FFFFF7D1"/>
      </patternFill>
    </fill>
    <fill>
      <patternFill patternType="solid">
        <fgColor rgb="FFFFE9A8"/>
      </patternFill>
    </fill>
  </fills>
  <borders count="4">
    <border>
      <left/>
      <right/>
      <top/>
      <bottom/>
      <diagonal/>
    </border>
    <border>
      <left style="thin">
        <color rgb="FFC8C7BC"/>
      </left>
      <right style="thin">
        <color rgb="FFC8C7BC"/>
      </right>
      <top style="thin">
        <color rgb="FFC8C7BC"/>
      </top>
      <bottom style="thin">
        <color rgb="FFC8C7BC"/>
      </bottom>
      <diagonal/>
    </border>
    <border>
      <left/>
      <right/>
      <top style="thin">
        <color rgb="FFC8C7BC"/>
      </top>
      <bottom style="thin">
        <color rgb="FFC8C7BC"/>
      </bottom>
      <diagonal/>
    </border>
    <border>
      <left/>
      <right style="thin">
        <color rgb="FFC8C7BC"/>
      </right>
      <top style="thin">
        <color rgb="FFC8C7BC"/>
      </top>
      <bottom style="thin">
        <color rgb="FFC8C7B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/>
    <xf numFmtId="4" fontId="0" fillId="5" borderId="1" xfId="0" applyNumberFormat="1" applyFill="1" applyBorder="1"/>
    <xf numFmtId="3" fontId="0" fillId="5" borderId="1" xfId="0" applyNumberFormat="1" applyFill="1" applyBorder="1"/>
    <xf numFmtId="3" fontId="0" fillId="6" borderId="1" xfId="0" applyNumberFormat="1" applyFill="1" applyBorder="1"/>
    <xf numFmtId="4" fontId="0" fillId="6" borderId="1" xfId="0" applyNumberFormat="1" applyFill="1" applyBorder="1"/>
    <xf numFmtId="4" fontId="0" fillId="7" borderId="1" xfId="0" applyNumberFormat="1" applyFill="1" applyBorder="1"/>
    <xf numFmtId="176" fontId="0" fillId="6" borderId="1" xfId="0" applyNumberFormat="1" applyFill="1" applyBorder="1"/>
    <xf numFmtId="0" fontId="7" fillId="5" borderId="1" xfId="0" applyFont="1" applyFill="1" applyBorder="1"/>
    <xf numFmtId="176" fontId="0" fillId="7" borderId="1" xfId="0" applyNumberFormat="1" applyFill="1" applyBorder="1"/>
    <xf numFmtId="177" fontId="0" fillId="5" borderId="1" xfId="0" applyNumberFormat="1" applyFill="1" applyBorder="1"/>
    <xf numFmtId="178" fontId="0" fillId="7" borderId="1" xfId="0" applyNumberFormat="1" applyFill="1" applyBorder="1"/>
    <xf numFmtId="177" fontId="0" fillId="6" borderId="1" xfId="0" applyNumberFormat="1" applyFill="1" applyBorder="1"/>
    <xf numFmtId="10" fontId="0" fillId="6" borderId="1" xfId="0" applyNumberFormat="1" applyFill="1" applyBorder="1"/>
    <xf numFmtId="10" fontId="0" fillId="7" borderId="1" xfId="0" applyNumberFormat="1" applyFill="1" applyBorder="1"/>
    <xf numFmtId="0" fontId="11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0" fillId="0" borderId="0" xfId="0"/>
    <xf numFmtId="0" fontId="0" fillId="2" borderId="1" xfId="0" applyFill="1" applyBorder="1"/>
    <xf numFmtId="0" fontId="4" fillId="2" borderId="0" xfId="0" applyFont="1" applyFill="1" applyAlignment="1">
      <alignment vertical="top" wrapText="1"/>
    </xf>
    <xf numFmtId="0" fontId="0" fillId="6" borderId="1" xfId="0" applyFill="1" applyBorder="1"/>
    <xf numFmtId="0" fontId="0" fillId="7" borderId="1" xfId="0" applyFill="1" applyBorder="1"/>
    <xf numFmtId="0" fontId="9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4" fontId="0" fillId="6" borderId="1" xfId="0" applyNumberFormat="1" applyFill="1" applyBorder="1"/>
    <xf numFmtId="0" fontId="0" fillId="0" borderId="2" xfId="0" applyBorder="1"/>
    <xf numFmtId="0" fontId="0" fillId="0" borderId="3" xfId="0" applyBorder="1"/>
    <xf numFmtId="4" fontId="0" fillId="7" borderId="1" xfId="0" applyNumberFormat="1" applyFill="1" applyBorder="1"/>
    <xf numFmtId="0" fontId="0" fillId="5" borderId="1" xfId="0" applyFill="1" applyBorder="1"/>
    <xf numFmtId="184" fontId="0" fillId="6" borderId="1" xfId="0" applyNumberFormat="1" applyFill="1" applyBorder="1"/>
    <xf numFmtId="2" fontId="0" fillId="6" borderId="1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AE9296-F46B-4EA2-BFB8-4B077B2934B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156365-5882-4474-a368-d949f30112ad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showGridLines="0" topLeftCell="A47" workbookViewId="0">
      <selection activeCell="A77" sqref="A77"/>
    </sheetView>
  </sheetViews>
  <sheetFormatPr defaultRowHeight="17" x14ac:dyDescent="0.45"/>
  <cols>
    <col min="1" max="1" width="22" customWidth="1"/>
    <col min="2" max="2" width="30" customWidth="1"/>
    <col min="3" max="3" width="24" customWidth="1"/>
    <col min="4" max="4" width="20" customWidth="1"/>
    <col min="5" max="5" width="18" customWidth="1"/>
    <col min="6" max="6" width="16" customWidth="1"/>
    <col min="7" max="8" width="14" customWidth="1"/>
  </cols>
  <sheetData>
    <row r="1" spans="1:8" ht="24" customHeight="1" x14ac:dyDescent="0.7">
      <c r="A1" s="1" t="s">
        <v>0</v>
      </c>
    </row>
    <row r="2" spans="1:8" x14ac:dyDescent="0.45">
      <c r="A2" s="2" t="s">
        <v>1</v>
      </c>
    </row>
    <row r="4" spans="1:8" x14ac:dyDescent="0.45">
      <c r="A4" s="28" t="s">
        <v>2</v>
      </c>
      <c r="B4" s="29"/>
      <c r="C4" s="29"/>
      <c r="D4" s="29"/>
      <c r="E4" s="29"/>
      <c r="F4" s="29"/>
      <c r="G4" s="29"/>
      <c r="H4" s="29"/>
    </row>
    <row r="5" spans="1:8" x14ac:dyDescent="0.45">
      <c r="A5" s="31" t="s">
        <v>3</v>
      </c>
      <c r="B5" s="29"/>
      <c r="C5" s="29"/>
      <c r="D5" s="29"/>
      <c r="E5" s="29"/>
      <c r="F5" s="29"/>
      <c r="G5" s="29"/>
      <c r="H5" s="29"/>
    </row>
    <row r="6" spans="1:8" x14ac:dyDescent="0.45">
      <c r="A6" s="31" t="s">
        <v>4</v>
      </c>
      <c r="B6" s="29"/>
      <c r="C6" s="29"/>
      <c r="D6" s="29"/>
      <c r="E6" s="29"/>
      <c r="F6" s="29"/>
      <c r="G6" s="29"/>
      <c r="H6" s="29"/>
    </row>
    <row r="7" spans="1:8" x14ac:dyDescent="0.45">
      <c r="A7" s="28"/>
      <c r="B7" s="29"/>
      <c r="C7" s="29"/>
      <c r="D7" s="29"/>
      <c r="E7" s="29"/>
      <c r="F7" s="29"/>
      <c r="G7" s="29"/>
      <c r="H7" s="29"/>
    </row>
    <row r="8" spans="1:8" x14ac:dyDescent="0.45">
      <c r="A8" s="28" t="s">
        <v>5</v>
      </c>
      <c r="B8" s="29"/>
      <c r="C8" s="29"/>
      <c r="D8" s="29"/>
      <c r="E8" s="29"/>
      <c r="F8" s="29"/>
      <c r="G8" s="29"/>
      <c r="H8" s="29"/>
    </row>
    <row r="9" spans="1:8" x14ac:dyDescent="0.45">
      <c r="A9" s="31" t="s">
        <v>6</v>
      </c>
      <c r="B9" s="29"/>
      <c r="C9" s="29"/>
      <c r="D9" s="29"/>
      <c r="E9" s="29"/>
      <c r="F9" s="29"/>
      <c r="G9" s="29"/>
      <c r="H9" s="29"/>
    </row>
    <row r="10" spans="1:8" x14ac:dyDescent="0.45">
      <c r="A10" s="31" t="s">
        <v>7</v>
      </c>
      <c r="B10" s="29"/>
      <c r="C10" s="29"/>
      <c r="D10" s="29"/>
      <c r="E10" s="29"/>
      <c r="F10" s="29"/>
      <c r="G10" s="29"/>
      <c r="H10" s="29"/>
    </row>
    <row r="12" spans="1:8" x14ac:dyDescent="0.45">
      <c r="A12" s="36" t="s">
        <v>8</v>
      </c>
      <c r="B12" s="29"/>
      <c r="C12" s="29"/>
      <c r="D12" s="29"/>
      <c r="E12" s="29"/>
      <c r="F12" s="29"/>
      <c r="G12" s="29"/>
      <c r="H12" s="29"/>
    </row>
    <row r="13" spans="1:8" x14ac:dyDescent="0.45">
      <c r="A13" s="35" t="s">
        <v>9</v>
      </c>
      <c r="B13" s="29"/>
      <c r="C13" s="29"/>
      <c r="D13" s="29"/>
      <c r="E13" s="29"/>
      <c r="F13" s="29"/>
      <c r="G13" s="29"/>
      <c r="H13" s="29"/>
    </row>
    <row r="14" spans="1:8" x14ac:dyDescent="0.45">
      <c r="A14" s="35" t="s">
        <v>10</v>
      </c>
      <c r="B14" s="29"/>
      <c r="C14" s="29"/>
      <c r="D14" s="29"/>
      <c r="E14" s="29"/>
      <c r="F14" s="29"/>
      <c r="G14" s="29"/>
      <c r="H14" s="29"/>
    </row>
    <row r="15" spans="1:8" x14ac:dyDescent="0.45">
      <c r="A15" s="35" t="s">
        <v>11</v>
      </c>
      <c r="B15" s="29"/>
      <c r="C15" s="29"/>
      <c r="D15" s="29"/>
      <c r="E15" s="29"/>
      <c r="F15" s="29"/>
      <c r="G15" s="29"/>
      <c r="H15" s="29"/>
    </row>
    <row r="16" spans="1:8" x14ac:dyDescent="0.45">
      <c r="A16" s="35" t="s">
        <v>12</v>
      </c>
      <c r="B16" s="29"/>
      <c r="C16" s="29"/>
      <c r="D16" s="29"/>
      <c r="E16" s="29"/>
      <c r="F16" s="29"/>
      <c r="G16" s="29"/>
      <c r="H16" s="29"/>
    </row>
    <row r="18" spans="1:8" x14ac:dyDescent="0.45">
      <c r="A18" s="3" t="s">
        <v>13</v>
      </c>
    </row>
    <row r="19" spans="1:8" x14ac:dyDescent="0.45">
      <c r="A19" s="4" t="s">
        <v>14</v>
      </c>
      <c r="B19" s="4" t="s">
        <v>15</v>
      </c>
      <c r="C19" s="4" t="s">
        <v>16</v>
      </c>
    </row>
    <row r="20" spans="1:8" x14ac:dyDescent="0.45">
      <c r="A20" s="5"/>
      <c r="B20" s="6" t="s">
        <v>17</v>
      </c>
      <c r="C20" s="6" t="s">
        <v>18</v>
      </c>
    </row>
    <row r="21" spans="1:8" x14ac:dyDescent="0.45">
      <c r="A21" s="7"/>
      <c r="B21" s="6" t="s">
        <v>19</v>
      </c>
      <c r="C21" s="6" t="s">
        <v>20</v>
      </c>
    </row>
    <row r="22" spans="1:8" x14ac:dyDescent="0.45">
      <c r="A22" s="8"/>
      <c r="B22" s="6" t="s">
        <v>21</v>
      </c>
      <c r="C22" s="6" t="s">
        <v>22</v>
      </c>
    </row>
    <row r="23" spans="1:8" x14ac:dyDescent="0.45">
      <c r="A23" s="9"/>
      <c r="B23" s="6" t="s">
        <v>23</v>
      </c>
      <c r="C23" s="6" t="s">
        <v>24</v>
      </c>
    </row>
    <row r="25" spans="1:8" x14ac:dyDescent="0.45">
      <c r="A25" s="28" t="s">
        <v>25</v>
      </c>
      <c r="B25" s="29"/>
      <c r="C25" s="29"/>
      <c r="D25" s="29"/>
      <c r="E25" s="29"/>
      <c r="F25" s="29"/>
      <c r="G25" s="29"/>
      <c r="H25" s="29"/>
    </row>
    <row r="26" spans="1:8" x14ac:dyDescent="0.45">
      <c r="A26" s="31" t="s">
        <v>26</v>
      </c>
      <c r="B26" s="29"/>
      <c r="C26" s="29"/>
      <c r="D26" s="29"/>
      <c r="E26" s="29"/>
      <c r="F26" s="29"/>
      <c r="G26" s="29"/>
      <c r="H26" s="29"/>
    </row>
    <row r="27" spans="1:8" x14ac:dyDescent="0.45">
      <c r="A27" s="31" t="s">
        <v>27</v>
      </c>
      <c r="B27" s="29"/>
      <c r="C27" s="29"/>
      <c r="D27" s="29"/>
      <c r="E27" s="29"/>
      <c r="F27" s="29"/>
      <c r="G27" s="29"/>
      <c r="H27" s="29"/>
    </row>
    <row r="29" spans="1:8" x14ac:dyDescent="0.45">
      <c r="A29" s="3" t="s">
        <v>28</v>
      </c>
    </row>
    <row r="30" spans="1:8" x14ac:dyDescent="0.45">
      <c r="A30" s="4" t="s">
        <v>29</v>
      </c>
      <c r="B30" s="4" t="s">
        <v>30</v>
      </c>
      <c r="C30" s="4" t="s">
        <v>31</v>
      </c>
    </row>
    <row r="31" spans="1:8" x14ac:dyDescent="0.45">
      <c r="A31" s="5" t="s">
        <v>32</v>
      </c>
      <c r="B31" s="5" t="s">
        <v>33</v>
      </c>
      <c r="C31" s="5" t="s">
        <v>34</v>
      </c>
    </row>
    <row r="32" spans="1:8" x14ac:dyDescent="0.45">
      <c r="A32" s="5" t="s">
        <v>35</v>
      </c>
      <c r="B32" s="5" t="s">
        <v>36</v>
      </c>
      <c r="C32" s="5" t="s">
        <v>37</v>
      </c>
    </row>
    <row r="33" spans="1:8" x14ac:dyDescent="0.45">
      <c r="A33" s="5" t="s">
        <v>38</v>
      </c>
      <c r="B33" s="5" t="s">
        <v>39</v>
      </c>
      <c r="C33" s="5" t="s">
        <v>40</v>
      </c>
    </row>
    <row r="34" spans="1:8" x14ac:dyDescent="0.45">
      <c r="A34" s="5" t="s">
        <v>41</v>
      </c>
      <c r="B34" s="5" t="s">
        <v>42</v>
      </c>
      <c r="C34" s="5" t="s">
        <v>43</v>
      </c>
    </row>
    <row r="35" spans="1:8" x14ac:dyDescent="0.45">
      <c r="A35" s="5" t="s">
        <v>44</v>
      </c>
      <c r="B35" s="5" t="s">
        <v>45</v>
      </c>
      <c r="C35" s="5" t="s">
        <v>46</v>
      </c>
    </row>
    <row r="36" spans="1:8" x14ac:dyDescent="0.45">
      <c r="A36" s="5" t="s">
        <v>47</v>
      </c>
      <c r="B36" s="5" t="s">
        <v>48</v>
      </c>
      <c r="C36" s="5" t="s">
        <v>49</v>
      </c>
    </row>
    <row r="38" spans="1:8" x14ac:dyDescent="0.45">
      <c r="A38" s="3" t="s">
        <v>50</v>
      </c>
    </row>
    <row r="39" spans="1:8" x14ac:dyDescent="0.45">
      <c r="A39" s="4" t="s">
        <v>29</v>
      </c>
      <c r="B39" s="4" t="s">
        <v>51</v>
      </c>
      <c r="C39" s="4" t="s">
        <v>52</v>
      </c>
    </row>
    <row r="40" spans="1:8" x14ac:dyDescent="0.45">
      <c r="A40" s="5" t="s">
        <v>53</v>
      </c>
      <c r="B40" s="5" t="s">
        <v>54</v>
      </c>
      <c r="C40" s="9" t="s">
        <v>55</v>
      </c>
    </row>
    <row r="41" spans="1:8" x14ac:dyDescent="0.45">
      <c r="A41" s="5" t="s">
        <v>56</v>
      </c>
      <c r="B41" s="5" t="s">
        <v>57</v>
      </c>
      <c r="C41" s="9" t="s">
        <v>58</v>
      </c>
    </row>
    <row r="42" spans="1:8" x14ac:dyDescent="0.45">
      <c r="A42" s="5" t="s">
        <v>59</v>
      </c>
      <c r="B42" s="5" t="s">
        <v>60</v>
      </c>
      <c r="C42" s="9" t="s">
        <v>61</v>
      </c>
    </row>
    <row r="43" spans="1:8" x14ac:dyDescent="0.45">
      <c r="A43" s="5" t="s">
        <v>41</v>
      </c>
      <c r="B43" s="5" t="s">
        <v>62</v>
      </c>
      <c r="C43" s="9" t="s">
        <v>63</v>
      </c>
    </row>
    <row r="45" spans="1:8" x14ac:dyDescent="0.45">
      <c r="A45" s="36" t="s">
        <v>64</v>
      </c>
      <c r="B45" s="29"/>
      <c r="C45" s="29"/>
      <c r="D45" s="29"/>
      <c r="E45" s="29"/>
      <c r="F45" s="29"/>
      <c r="G45" s="29"/>
      <c r="H45" s="29"/>
    </row>
    <row r="46" spans="1:8" x14ac:dyDescent="0.45">
      <c r="A46" s="35" t="s">
        <v>65</v>
      </c>
      <c r="B46" s="29"/>
      <c r="C46" s="29"/>
      <c r="D46" s="29"/>
      <c r="E46" s="29"/>
      <c r="F46" s="29"/>
      <c r="G46" s="29"/>
      <c r="H46" s="29"/>
    </row>
    <row r="47" spans="1:8" x14ac:dyDescent="0.45">
      <c r="A47" s="35" t="s">
        <v>66</v>
      </c>
      <c r="B47" s="29"/>
      <c r="C47" s="29"/>
      <c r="D47" s="29"/>
      <c r="E47" s="29"/>
      <c r="F47" s="29"/>
      <c r="G47" s="29"/>
      <c r="H47" s="29"/>
    </row>
    <row r="48" spans="1:8" x14ac:dyDescent="0.45">
      <c r="A48" s="35" t="s">
        <v>67</v>
      </c>
      <c r="B48" s="29"/>
      <c r="C48" s="29"/>
      <c r="D48" s="29"/>
      <c r="E48" s="29"/>
      <c r="F48" s="29"/>
      <c r="G48" s="29"/>
      <c r="H48" s="29"/>
    </row>
    <row r="49" spans="1:8" x14ac:dyDescent="0.45">
      <c r="A49" s="35" t="s">
        <v>68</v>
      </c>
      <c r="B49" s="29"/>
      <c r="C49" s="29"/>
      <c r="D49" s="29"/>
      <c r="E49" s="29"/>
      <c r="F49" s="29"/>
      <c r="G49" s="29"/>
      <c r="H49" s="29"/>
    </row>
    <row r="50" spans="1:8" x14ac:dyDescent="0.45">
      <c r="A50" s="35" t="s">
        <v>69</v>
      </c>
      <c r="B50" s="29"/>
      <c r="C50" s="29"/>
      <c r="D50" s="29"/>
      <c r="E50" s="29"/>
      <c r="F50" s="29"/>
      <c r="G50" s="29"/>
      <c r="H50" s="29"/>
    </row>
    <row r="52" spans="1:8" x14ac:dyDescent="0.45">
      <c r="A52" s="3" t="s">
        <v>70</v>
      </c>
    </row>
    <row r="53" spans="1:8" x14ac:dyDescent="0.45">
      <c r="A53" s="4" t="s">
        <v>71</v>
      </c>
      <c r="B53" s="4" t="s">
        <v>72</v>
      </c>
      <c r="C53" s="4" t="s">
        <v>73</v>
      </c>
    </row>
    <row r="54" spans="1:8" x14ac:dyDescent="0.45">
      <c r="A54" s="5" t="s">
        <v>74</v>
      </c>
      <c r="B54" s="5" t="s">
        <v>75</v>
      </c>
      <c r="C54" s="5">
        <v>3303</v>
      </c>
    </row>
    <row r="55" spans="1:8" x14ac:dyDescent="0.45">
      <c r="A55" s="5" t="s">
        <v>76</v>
      </c>
      <c r="B55" s="5" t="s">
        <v>77</v>
      </c>
      <c r="C55" s="5">
        <v>36</v>
      </c>
    </row>
    <row r="56" spans="1:8" x14ac:dyDescent="0.45">
      <c r="A56" s="5" t="s">
        <v>78</v>
      </c>
      <c r="B56" s="5" t="s">
        <v>79</v>
      </c>
      <c r="C56" s="5">
        <v>18</v>
      </c>
    </row>
    <row r="57" spans="1:8" x14ac:dyDescent="0.45">
      <c r="A57" s="5" t="s">
        <v>80</v>
      </c>
      <c r="B57" s="5" t="s">
        <v>81</v>
      </c>
      <c r="C57" s="5">
        <v>15</v>
      </c>
    </row>
    <row r="58" spans="1:8" x14ac:dyDescent="0.45">
      <c r="A58" s="5" t="s">
        <v>82</v>
      </c>
      <c r="B58" s="5" t="s">
        <v>83</v>
      </c>
      <c r="C58" s="5">
        <v>59</v>
      </c>
    </row>
    <row r="59" spans="1:8" x14ac:dyDescent="0.45">
      <c r="A59" s="5" t="s">
        <v>84</v>
      </c>
      <c r="B59" s="5" t="s">
        <v>85</v>
      </c>
      <c r="C59" s="5">
        <v>392</v>
      </c>
    </row>
    <row r="60" spans="1:8" x14ac:dyDescent="0.45">
      <c r="A60" s="5" t="s">
        <v>86</v>
      </c>
      <c r="B60" s="5" t="s">
        <v>87</v>
      </c>
      <c r="C60" s="5">
        <v>181</v>
      </c>
    </row>
    <row r="61" spans="1:8" x14ac:dyDescent="0.45">
      <c r="A61" s="31" t="s">
        <v>88</v>
      </c>
      <c r="B61" s="29"/>
      <c r="C61" s="29"/>
      <c r="D61" s="29"/>
      <c r="E61" s="29"/>
      <c r="F61" s="29"/>
      <c r="G61" s="29"/>
      <c r="H61" s="29"/>
    </row>
    <row r="63" spans="1:8" x14ac:dyDescent="0.45">
      <c r="A63" s="3" t="s">
        <v>89</v>
      </c>
    </row>
    <row r="64" spans="1:8" x14ac:dyDescent="0.45">
      <c r="A64" s="5" t="s">
        <v>90</v>
      </c>
      <c r="B64" s="32"/>
      <c r="C64" s="29"/>
      <c r="D64" s="29"/>
    </row>
    <row r="65" spans="1:4" x14ac:dyDescent="0.45">
      <c r="A65" s="5" t="s">
        <v>91</v>
      </c>
      <c r="B65" s="32"/>
      <c r="C65" s="29"/>
      <c r="D65" s="29"/>
    </row>
    <row r="66" spans="1:4" x14ac:dyDescent="0.45">
      <c r="A66" s="5" t="s">
        <v>92</v>
      </c>
      <c r="B66" s="32"/>
      <c r="C66" s="29"/>
      <c r="D66" s="29"/>
    </row>
    <row r="67" spans="1:4" x14ac:dyDescent="0.45">
      <c r="A67" s="5" t="s">
        <v>93</v>
      </c>
      <c r="B67" s="32"/>
      <c r="C67" s="29"/>
      <c r="D67" s="29"/>
    </row>
    <row r="68" spans="1:4" x14ac:dyDescent="0.45">
      <c r="A68" s="5" t="s">
        <v>94</v>
      </c>
      <c r="B68" s="32"/>
      <c r="C68" s="29"/>
      <c r="D68" s="29"/>
    </row>
  </sheetData>
  <mergeCells count="27">
    <mergeCell ref="A5:H5"/>
    <mergeCell ref="A8:H8"/>
    <mergeCell ref="A4:H4"/>
    <mergeCell ref="B66:D66"/>
    <mergeCell ref="A10:H10"/>
    <mergeCell ref="A13:H13"/>
    <mergeCell ref="A6:H6"/>
    <mergeCell ref="A7:H7"/>
    <mergeCell ref="A9:H9"/>
    <mergeCell ref="A45:H45"/>
    <mergeCell ref="A61:H61"/>
    <mergeCell ref="B68:D68"/>
    <mergeCell ref="A46:H46"/>
    <mergeCell ref="A27:H27"/>
    <mergeCell ref="B64:D64"/>
    <mergeCell ref="A12:H12"/>
    <mergeCell ref="A50:H50"/>
    <mergeCell ref="A26:H26"/>
    <mergeCell ref="A14:H14"/>
    <mergeCell ref="A47:H47"/>
    <mergeCell ref="A25:H25"/>
    <mergeCell ref="A16:H16"/>
    <mergeCell ref="B65:D65"/>
    <mergeCell ref="A48:H48"/>
    <mergeCell ref="B67:D67"/>
    <mergeCell ref="A15:H15"/>
    <mergeCell ref="A49:H49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workbookViewId="0">
      <pane ySplit="11" topLeftCell="A24" activePane="bottomLeft" state="frozen"/>
      <selection pane="bottomLeft" activeCell="G43" sqref="G43"/>
    </sheetView>
  </sheetViews>
  <sheetFormatPr defaultRowHeight="17" x14ac:dyDescent="0.45"/>
  <cols>
    <col min="1" max="1" width="6" customWidth="1"/>
    <col min="2" max="2" width="16" customWidth="1"/>
    <col min="3" max="4" width="12" customWidth="1"/>
    <col min="5" max="5" width="16" customWidth="1"/>
    <col min="6" max="6" width="14" customWidth="1"/>
    <col min="7" max="7" width="30" customWidth="1"/>
  </cols>
  <sheetData>
    <row r="1" spans="1:7" ht="24" customHeight="1" x14ac:dyDescent="0.7">
      <c r="A1" s="1" t="s">
        <v>141</v>
      </c>
    </row>
    <row r="2" spans="1:7" x14ac:dyDescent="0.45">
      <c r="A2" s="2" t="s">
        <v>142</v>
      </c>
    </row>
    <row r="4" spans="1:7" x14ac:dyDescent="0.45">
      <c r="A4" s="28" t="s">
        <v>143</v>
      </c>
      <c r="B4" s="29"/>
      <c r="C4" s="29"/>
      <c r="D4" s="29"/>
      <c r="E4" s="29"/>
      <c r="F4" s="29"/>
      <c r="G4" s="29"/>
    </row>
    <row r="5" spans="1:7" x14ac:dyDescent="0.45">
      <c r="A5" s="34" t="s">
        <v>508</v>
      </c>
      <c r="B5" s="29"/>
      <c r="C5" s="29"/>
      <c r="D5" s="29"/>
      <c r="E5" s="29"/>
      <c r="F5" s="29"/>
      <c r="G5" s="29"/>
    </row>
    <row r="6" spans="1:7" x14ac:dyDescent="0.45">
      <c r="A6" s="34" t="s">
        <v>509</v>
      </c>
      <c r="B6" s="29"/>
      <c r="C6" s="29"/>
      <c r="D6" s="29"/>
      <c r="E6" s="29"/>
      <c r="F6" s="29"/>
      <c r="G6" s="29"/>
    </row>
    <row r="7" spans="1:7" x14ac:dyDescent="0.45">
      <c r="A7" s="37" t="s">
        <v>510</v>
      </c>
      <c r="B7" s="29"/>
      <c r="C7" s="29"/>
      <c r="D7" s="29"/>
      <c r="E7" s="29"/>
      <c r="F7" s="29"/>
      <c r="G7" s="29"/>
    </row>
    <row r="8" spans="1:7" x14ac:dyDescent="0.45">
      <c r="A8" s="28" t="s">
        <v>144</v>
      </c>
      <c r="B8" s="29"/>
      <c r="C8" s="29"/>
      <c r="D8" s="29"/>
      <c r="E8" s="29"/>
      <c r="F8" s="29"/>
      <c r="G8" s="29"/>
    </row>
    <row r="10" spans="1:7" x14ac:dyDescent="0.45">
      <c r="A10" s="3" t="s">
        <v>145</v>
      </c>
    </row>
    <row r="11" spans="1:7" x14ac:dyDescent="0.45">
      <c r="A11" s="4"/>
      <c r="B11" s="4" t="s">
        <v>146</v>
      </c>
      <c r="C11" s="4" t="s">
        <v>147</v>
      </c>
      <c r="D11" s="4" t="s">
        <v>148</v>
      </c>
      <c r="E11" s="4" t="s">
        <v>149</v>
      </c>
      <c r="F11" s="4" t="s">
        <v>150</v>
      </c>
      <c r="G11" s="4" t="s">
        <v>151</v>
      </c>
    </row>
    <row r="12" spans="1:7" x14ac:dyDescent="0.45">
      <c r="A12" s="10">
        <v>1</v>
      </c>
      <c r="B12" s="5" t="s">
        <v>152</v>
      </c>
      <c r="C12" s="10" t="s">
        <v>153</v>
      </c>
      <c r="D12" s="10" t="s">
        <v>153</v>
      </c>
      <c r="E12" s="12">
        <f>IF(AND(C12="O",D12="O"),1,0)</f>
        <v>1</v>
      </c>
      <c r="F12" s="12" cm="1">
        <f t="array" ref="F12">IF(E12=0,"",SUMPRODUCT(($B$12:$B$23&gt;B12)*($B$12:$B$23&lt;=$B$23)*$E$12:$E$23))</f>
        <v>10</v>
      </c>
      <c r="G12" s="7"/>
    </row>
    <row r="13" spans="1:7" x14ac:dyDescent="0.45">
      <c r="A13" s="10">
        <v>2</v>
      </c>
      <c r="B13" s="5" t="s">
        <v>154</v>
      </c>
      <c r="C13" s="10" t="s">
        <v>153</v>
      </c>
      <c r="D13" s="10" t="s">
        <v>153</v>
      </c>
      <c r="E13" s="12">
        <f t="shared" ref="E13:E23" si="0">IF(AND(C13="O",D13="O"),1,0)</f>
        <v>1</v>
      </c>
      <c r="F13" s="12" cm="1">
        <f t="array" ref="F13">IF(E13=0,"",SUMPRODUCT(($B$12:$B$23&gt;B13)*($B$12:$B$23&lt;=$B$23)*$E$12:$E$23))</f>
        <v>9</v>
      </c>
      <c r="G13" s="7"/>
    </row>
    <row r="14" spans="1:7" x14ac:dyDescent="0.45">
      <c r="A14" s="10">
        <v>3</v>
      </c>
      <c r="B14" s="5" t="s">
        <v>155</v>
      </c>
      <c r="C14" s="10" t="s">
        <v>153</v>
      </c>
      <c r="D14" s="10" t="s">
        <v>153</v>
      </c>
      <c r="E14" s="12">
        <f t="shared" si="0"/>
        <v>1</v>
      </c>
      <c r="F14" s="12" cm="1">
        <f t="array" ref="F14">IF(E14=0,"",SUMPRODUCT(($B$12:$B$23&gt;B14)*($B$12:$B$23&lt;=$B$23)*$E$12:$E$23))</f>
        <v>8</v>
      </c>
      <c r="G14" s="7"/>
    </row>
    <row r="15" spans="1:7" x14ac:dyDescent="0.45">
      <c r="A15" s="10">
        <v>4</v>
      </c>
      <c r="B15" s="5" t="s">
        <v>156</v>
      </c>
      <c r="C15" s="10" t="s">
        <v>153</v>
      </c>
      <c r="D15" s="10" t="s">
        <v>153</v>
      </c>
      <c r="E15" s="12">
        <f t="shared" si="0"/>
        <v>1</v>
      </c>
      <c r="F15" s="12" cm="1">
        <f t="array" ref="F15">IF(E15=0,"",SUMPRODUCT(($B$12:$B$23&gt;B15)*($B$12:$B$23&lt;=$B$23)*$E$12:$E$23))</f>
        <v>7</v>
      </c>
      <c r="G15" s="7"/>
    </row>
    <row r="16" spans="1:7" x14ac:dyDescent="0.45">
      <c r="A16" s="10">
        <v>5</v>
      </c>
      <c r="B16" s="5" t="s">
        <v>157</v>
      </c>
      <c r="C16" s="10" t="s">
        <v>153</v>
      </c>
      <c r="D16" s="10" t="s">
        <v>158</v>
      </c>
      <c r="E16" s="12">
        <f t="shared" si="0"/>
        <v>0</v>
      </c>
      <c r="F16" s="12" t="str" cm="1">
        <f t="array" ref="F16">IF(E16=0,"",SUMPRODUCT(($B$12:$B$23&gt;B16)*($B$12:$B$23&lt;=$B$23)*$E$12:$E$23))</f>
        <v/>
      </c>
      <c r="G16" s="7"/>
    </row>
    <row r="17" spans="1:7" x14ac:dyDescent="0.45">
      <c r="A17" s="10">
        <v>6</v>
      </c>
      <c r="B17" s="5" t="s">
        <v>159</v>
      </c>
      <c r="C17" s="10" t="s">
        <v>153</v>
      </c>
      <c r="D17" s="10" t="s">
        <v>153</v>
      </c>
      <c r="E17" s="12">
        <f t="shared" si="0"/>
        <v>1</v>
      </c>
      <c r="F17" s="12" cm="1">
        <f t="array" ref="F17">IF(E17=0,"",SUMPRODUCT(($B$12:$B$23&gt;B17)*($B$12:$B$23&lt;=$B$23)*$E$12:$E$23))</f>
        <v>6</v>
      </c>
      <c r="G17" s="7"/>
    </row>
    <row r="18" spans="1:7" x14ac:dyDescent="0.45">
      <c r="A18" s="10">
        <v>7</v>
      </c>
      <c r="B18" s="5" t="s">
        <v>160</v>
      </c>
      <c r="C18" s="10" t="s">
        <v>153</v>
      </c>
      <c r="D18" s="10" t="s">
        <v>153</v>
      </c>
      <c r="E18" s="12">
        <f t="shared" si="0"/>
        <v>1</v>
      </c>
      <c r="F18" s="12" cm="1">
        <f t="array" ref="F18">IF(E18=0,"",SUMPRODUCT(($B$12:$B$23&gt;B18)*($B$12:$B$23&lt;=$B$23)*$E$12:$E$23))</f>
        <v>5</v>
      </c>
      <c r="G18" s="7"/>
    </row>
    <row r="19" spans="1:7" x14ac:dyDescent="0.45">
      <c r="A19" s="10">
        <v>8</v>
      </c>
      <c r="B19" s="5" t="s">
        <v>161</v>
      </c>
      <c r="C19" s="10" t="s">
        <v>153</v>
      </c>
      <c r="D19" s="10" t="s">
        <v>153</v>
      </c>
      <c r="E19" s="12">
        <f t="shared" si="0"/>
        <v>1</v>
      </c>
      <c r="F19" s="12" cm="1">
        <f t="array" ref="F19">IF(E19=0,"",SUMPRODUCT(($B$12:$B$23&gt;B19)*($B$12:$B$23&lt;=$B$23)*$E$12:$E$23))</f>
        <v>4</v>
      </c>
      <c r="G19" s="7"/>
    </row>
    <row r="20" spans="1:7" x14ac:dyDescent="0.45">
      <c r="A20" s="10">
        <v>9</v>
      </c>
      <c r="B20" s="5" t="s">
        <v>162</v>
      </c>
      <c r="C20" s="10" t="s">
        <v>153</v>
      </c>
      <c r="D20" s="10" t="s">
        <v>153</v>
      </c>
      <c r="E20" s="12">
        <f t="shared" si="0"/>
        <v>1</v>
      </c>
      <c r="F20" s="12" cm="1">
        <f t="array" ref="F20">IF(E20=0,"",SUMPRODUCT(($B$12:$B$23&gt;B20)*($B$12:$B$23&lt;=$B$23)*$E$12:$E$23))</f>
        <v>3</v>
      </c>
      <c r="G20" s="7"/>
    </row>
    <row r="21" spans="1:7" x14ac:dyDescent="0.45">
      <c r="A21" s="10">
        <v>10</v>
      </c>
      <c r="B21" s="5" t="s">
        <v>163</v>
      </c>
      <c r="C21" s="10" t="s">
        <v>153</v>
      </c>
      <c r="D21" s="10" t="s">
        <v>153</v>
      </c>
      <c r="E21" s="12">
        <f t="shared" si="0"/>
        <v>1</v>
      </c>
      <c r="F21" s="12" cm="1">
        <f t="array" ref="F21">IF(E21=0,"",SUMPRODUCT(($B$12:$B$23&gt;B21)*($B$12:$B$23&lt;=$B$23)*$E$12:$E$23))</f>
        <v>2</v>
      </c>
      <c r="G21" s="7"/>
    </row>
    <row r="22" spans="1:7" x14ac:dyDescent="0.45">
      <c r="A22" s="10">
        <v>11</v>
      </c>
      <c r="B22" s="5" t="s">
        <v>164</v>
      </c>
      <c r="C22" s="10" t="s">
        <v>153</v>
      </c>
      <c r="D22" s="10" t="s">
        <v>153</v>
      </c>
      <c r="E22" s="12">
        <f t="shared" si="0"/>
        <v>1</v>
      </c>
      <c r="F22" s="12" cm="1">
        <f t="array" ref="F22">IF(E22=0,"",SUMPRODUCT(($B$12:$B$23&gt;B22)*($B$12:$B$23&lt;=$B$23)*$E$12:$E$23))</f>
        <v>1</v>
      </c>
      <c r="G22" s="7"/>
    </row>
    <row r="23" spans="1:7" x14ac:dyDescent="0.45">
      <c r="A23" s="10">
        <v>12</v>
      </c>
      <c r="B23" s="5" t="s">
        <v>36</v>
      </c>
      <c r="C23" s="10" t="s">
        <v>153</v>
      </c>
      <c r="D23" s="10" t="s">
        <v>153</v>
      </c>
      <c r="E23" s="12">
        <f t="shared" si="0"/>
        <v>1</v>
      </c>
      <c r="F23" s="12" cm="1">
        <f t="array" ref="F23">IF(E23=0,"",SUMPRODUCT(($B$12:$B$23&gt;B23)*($B$12:$B$23&lt;=$B$23)*$E$12:$E$23))</f>
        <v>0</v>
      </c>
      <c r="G23" s="7"/>
    </row>
    <row r="25" spans="1:7" x14ac:dyDescent="0.45">
      <c r="A25" s="3" t="s">
        <v>165</v>
      </c>
    </row>
    <row r="26" spans="1:7" x14ac:dyDescent="0.45">
      <c r="A26" s="5" t="s">
        <v>103</v>
      </c>
      <c r="B26" s="33" t="s">
        <v>160</v>
      </c>
      <c r="C26" s="29"/>
      <c r="D26" s="13" t="s">
        <v>166</v>
      </c>
    </row>
    <row r="28" spans="1:7" x14ac:dyDescent="0.45">
      <c r="A28" s="36" t="s">
        <v>167</v>
      </c>
      <c r="B28" s="29"/>
      <c r="C28" s="29"/>
      <c r="D28" s="29"/>
      <c r="E28" s="29"/>
      <c r="F28" s="29"/>
      <c r="G28" s="29"/>
    </row>
    <row r="29" spans="1:7" x14ac:dyDescent="0.45">
      <c r="A29" s="35" t="s">
        <v>168</v>
      </c>
      <c r="B29" s="29"/>
      <c r="C29" s="29"/>
      <c r="D29" s="29"/>
      <c r="E29" s="29"/>
      <c r="F29" s="29"/>
      <c r="G29" s="29"/>
    </row>
    <row r="30" spans="1:7" x14ac:dyDescent="0.45">
      <c r="A30" s="35" t="s">
        <v>169</v>
      </c>
      <c r="B30" s="29"/>
      <c r="C30" s="29"/>
      <c r="D30" s="29"/>
      <c r="E30" s="29"/>
      <c r="F30" s="29"/>
      <c r="G30" s="29"/>
    </row>
    <row r="31" spans="1:7" x14ac:dyDescent="0.45">
      <c r="A31" t="s">
        <v>506</v>
      </c>
    </row>
  </sheetData>
  <mergeCells count="9">
    <mergeCell ref="A8:G8"/>
    <mergeCell ref="A28:G28"/>
    <mergeCell ref="A6:G6"/>
    <mergeCell ref="A4:G4"/>
    <mergeCell ref="A30:G30"/>
    <mergeCell ref="A29:G29"/>
    <mergeCell ref="A7:G7"/>
    <mergeCell ref="B26:C26"/>
    <mergeCell ref="A5:G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/>
  </sheetViews>
  <sheetFormatPr defaultRowHeight="17" x14ac:dyDescent="0.45"/>
  <cols>
    <col min="1" max="1" width="8" customWidth="1"/>
    <col min="2" max="2" width="26" customWidth="1"/>
    <col min="3" max="3" width="46" customWidth="1"/>
    <col min="4" max="4" width="26" customWidth="1"/>
    <col min="5" max="5" width="34" customWidth="1"/>
  </cols>
  <sheetData>
    <row r="1" spans="1:5" ht="24" customHeight="1" x14ac:dyDescent="0.7">
      <c r="A1" s="1" t="s">
        <v>95</v>
      </c>
    </row>
    <row r="2" spans="1:5" x14ac:dyDescent="0.45">
      <c r="A2" s="2" t="s">
        <v>96</v>
      </c>
    </row>
    <row r="4" spans="1:5" x14ac:dyDescent="0.45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</row>
    <row r="5" spans="1:5" ht="30" customHeight="1" x14ac:dyDescent="0.45">
      <c r="A5" s="10" t="s">
        <v>102</v>
      </c>
      <c r="B5" s="5" t="s">
        <v>103</v>
      </c>
      <c r="C5" s="11" t="s">
        <v>104</v>
      </c>
      <c r="D5" s="5" t="s">
        <v>105</v>
      </c>
      <c r="E5" s="11" t="s">
        <v>106</v>
      </c>
    </row>
    <row r="6" spans="1:5" ht="30" customHeight="1" x14ac:dyDescent="0.45">
      <c r="A6" s="10" t="s">
        <v>107</v>
      </c>
      <c r="B6" s="5" t="s">
        <v>108</v>
      </c>
      <c r="C6" s="11" t="s">
        <v>109</v>
      </c>
      <c r="D6" s="5" t="s">
        <v>110</v>
      </c>
      <c r="E6" s="11" t="s">
        <v>111</v>
      </c>
    </row>
    <row r="7" spans="1:5" ht="30" customHeight="1" x14ac:dyDescent="0.45">
      <c r="A7" s="10" t="s">
        <v>112</v>
      </c>
      <c r="B7" s="5" t="s">
        <v>113</v>
      </c>
      <c r="C7" s="11" t="s">
        <v>114</v>
      </c>
      <c r="D7" s="5" t="s">
        <v>115</v>
      </c>
      <c r="E7" s="11" t="s">
        <v>116</v>
      </c>
    </row>
    <row r="8" spans="1:5" ht="30" customHeight="1" x14ac:dyDescent="0.45">
      <c r="A8" s="10" t="s">
        <v>117</v>
      </c>
      <c r="B8" s="5" t="s">
        <v>118</v>
      </c>
      <c r="C8" s="11" t="s">
        <v>119</v>
      </c>
      <c r="D8" s="5" t="s">
        <v>120</v>
      </c>
      <c r="E8" s="11" t="s">
        <v>121</v>
      </c>
    </row>
    <row r="9" spans="1:5" ht="30" customHeight="1" x14ac:dyDescent="0.45">
      <c r="A9" s="10" t="s">
        <v>122</v>
      </c>
      <c r="B9" s="5" t="s">
        <v>123</v>
      </c>
      <c r="C9" s="11" t="s">
        <v>124</v>
      </c>
      <c r="D9" s="5" t="s">
        <v>125</v>
      </c>
      <c r="E9" s="11" t="s">
        <v>126</v>
      </c>
    </row>
    <row r="10" spans="1:5" ht="30" customHeight="1" x14ac:dyDescent="0.45">
      <c r="A10" s="10" t="s">
        <v>127</v>
      </c>
      <c r="B10" s="5" t="s">
        <v>128</v>
      </c>
      <c r="C10" s="11" t="s">
        <v>129</v>
      </c>
      <c r="D10" s="5" t="s">
        <v>130</v>
      </c>
      <c r="E10" s="11" t="s">
        <v>131</v>
      </c>
    </row>
    <row r="11" spans="1:5" ht="30" customHeight="1" x14ac:dyDescent="0.45">
      <c r="A11" s="10" t="s">
        <v>132</v>
      </c>
      <c r="B11" s="5" t="s">
        <v>133</v>
      </c>
      <c r="C11" s="11" t="s">
        <v>134</v>
      </c>
      <c r="D11" s="5" t="s">
        <v>135</v>
      </c>
      <c r="E11" s="11" t="s">
        <v>136</v>
      </c>
    </row>
    <row r="13" spans="1:5" x14ac:dyDescent="0.45">
      <c r="A13" s="28" t="s">
        <v>137</v>
      </c>
      <c r="B13" s="29"/>
      <c r="C13" s="29"/>
      <c r="D13" s="29"/>
      <c r="E13" s="29"/>
    </row>
    <row r="14" spans="1:5" x14ac:dyDescent="0.45">
      <c r="A14" s="31" t="s">
        <v>138</v>
      </c>
      <c r="B14" s="29"/>
      <c r="C14" s="29"/>
      <c r="D14" s="29"/>
      <c r="E14" s="29"/>
    </row>
    <row r="15" spans="1:5" x14ac:dyDescent="0.45">
      <c r="A15" s="31" t="s">
        <v>139</v>
      </c>
      <c r="B15" s="29"/>
      <c r="C15" s="29"/>
      <c r="D15" s="29"/>
      <c r="E15" s="29"/>
    </row>
    <row r="16" spans="1:5" x14ac:dyDescent="0.45">
      <c r="A16" s="31" t="s">
        <v>140</v>
      </c>
      <c r="B16" s="29"/>
      <c r="C16" s="29"/>
      <c r="D16" s="29"/>
      <c r="E16" s="29"/>
    </row>
  </sheetData>
  <mergeCells count="4">
    <mergeCell ref="A16:E16"/>
    <mergeCell ref="A15:E15"/>
    <mergeCell ref="A13:E13"/>
    <mergeCell ref="A14:E14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2"/>
  <sheetViews>
    <sheetView showGridLines="0" workbookViewId="0">
      <pane ySplit="11" topLeftCell="A97" activePane="bottomLeft" state="frozen"/>
      <selection pane="bottomLeft" activeCell="A109" sqref="A109"/>
    </sheetView>
  </sheetViews>
  <sheetFormatPr defaultRowHeight="17" x14ac:dyDescent="0.45"/>
  <cols>
    <col min="1" max="1" width="6" customWidth="1"/>
    <col min="2" max="3" width="14" customWidth="1"/>
    <col min="4" max="4" width="16" customWidth="1"/>
    <col min="5" max="5" width="18" customWidth="1"/>
    <col min="6" max="6" width="16" customWidth="1"/>
    <col min="7" max="7" width="26" customWidth="1"/>
  </cols>
  <sheetData>
    <row r="1" spans="1:7" ht="24" customHeight="1" x14ac:dyDescent="0.7">
      <c r="A1" s="1" t="s">
        <v>170</v>
      </c>
    </row>
    <row r="2" spans="1:7" x14ac:dyDescent="0.45">
      <c r="A2" s="2" t="s">
        <v>171</v>
      </c>
    </row>
    <row r="4" spans="1:7" x14ac:dyDescent="0.45">
      <c r="A4" s="28" t="s">
        <v>172</v>
      </c>
      <c r="B4" s="29"/>
      <c r="C4" s="29"/>
      <c r="D4" s="29"/>
      <c r="E4" s="29"/>
      <c r="F4" s="29"/>
      <c r="G4" s="29"/>
    </row>
    <row r="5" spans="1:7" x14ac:dyDescent="0.45">
      <c r="A5" s="31" t="s">
        <v>173</v>
      </c>
      <c r="B5" s="29"/>
      <c r="C5" s="29"/>
      <c r="D5" s="29"/>
      <c r="E5" s="29"/>
      <c r="F5" s="29"/>
      <c r="G5" s="29"/>
    </row>
    <row r="6" spans="1:7" x14ac:dyDescent="0.45">
      <c r="A6" s="31" t="s">
        <v>174</v>
      </c>
      <c r="B6" s="29"/>
      <c r="C6" s="29"/>
      <c r="D6" s="29"/>
      <c r="E6" s="29"/>
      <c r="F6" s="29"/>
      <c r="G6" s="29"/>
    </row>
    <row r="7" spans="1:7" x14ac:dyDescent="0.45">
      <c r="A7" s="31" t="s">
        <v>175</v>
      </c>
      <c r="B7" s="29"/>
      <c r="C7" s="29"/>
      <c r="D7" s="29"/>
      <c r="E7" s="29"/>
      <c r="F7" s="29"/>
      <c r="G7" s="29"/>
    </row>
    <row r="8" spans="1:7" x14ac:dyDescent="0.45">
      <c r="A8" s="31" t="s">
        <v>176</v>
      </c>
      <c r="B8" s="29"/>
      <c r="C8" s="29"/>
      <c r="D8" s="29"/>
      <c r="E8" s="29"/>
      <c r="F8" s="29"/>
      <c r="G8" s="29"/>
    </row>
    <row r="10" spans="1:7" x14ac:dyDescent="0.45">
      <c r="A10" s="3" t="s">
        <v>177</v>
      </c>
    </row>
    <row r="11" spans="1:7" x14ac:dyDescent="0.45">
      <c r="A11" s="4"/>
      <c r="B11" s="4" t="s">
        <v>146</v>
      </c>
      <c r="C11" s="4" t="s">
        <v>178</v>
      </c>
      <c r="D11" s="4" t="s">
        <v>179</v>
      </c>
      <c r="E11" s="4" t="s">
        <v>180</v>
      </c>
      <c r="F11" s="4" t="s">
        <v>181</v>
      </c>
      <c r="G11" s="4" t="s">
        <v>151</v>
      </c>
    </row>
    <row r="12" spans="1:7" x14ac:dyDescent="0.45">
      <c r="A12" s="10">
        <v>1</v>
      </c>
      <c r="B12" s="5" t="s">
        <v>182</v>
      </c>
      <c r="C12" s="14">
        <v>87.05</v>
      </c>
      <c r="D12" s="15">
        <v>2276600</v>
      </c>
      <c r="E12" s="16">
        <f>C12*D12</f>
        <v>198178030</v>
      </c>
      <c r="F12" s="10" t="s">
        <v>183</v>
      </c>
      <c r="G12" s="7"/>
    </row>
    <row r="13" spans="1:7" x14ac:dyDescent="0.45">
      <c r="A13" s="10">
        <v>2</v>
      </c>
      <c r="B13" s="5" t="s">
        <v>184</v>
      </c>
      <c r="C13" s="14">
        <v>89.06</v>
      </c>
      <c r="D13" s="15">
        <v>1769100</v>
      </c>
      <c r="E13" s="16">
        <f t="shared" ref="E13:E76" si="0">C13*D13</f>
        <v>157556046</v>
      </c>
      <c r="F13" s="10" t="s">
        <v>183</v>
      </c>
      <c r="G13" s="7"/>
    </row>
    <row r="14" spans="1:7" x14ac:dyDescent="0.45">
      <c r="A14" s="10">
        <v>3</v>
      </c>
      <c r="B14" s="5" t="s">
        <v>185</v>
      </c>
      <c r="C14" s="14">
        <v>91.97</v>
      </c>
      <c r="D14" s="15">
        <v>2405800</v>
      </c>
      <c r="E14" s="16">
        <f t="shared" si="0"/>
        <v>221261426</v>
      </c>
      <c r="F14" s="10" t="s">
        <v>183</v>
      </c>
      <c r="G14" s="7"/>
    </row>
    <row r="15" spans="1:7" x14ac:dyDescent="0.45">
      <c r="A15" s="10">
        <v>4</v>
      </c>
      <c r="B15" s="5" t="s">
        <v>186</v>
      </c>
      <c r="C15" s="14">
        <v>97.21</v>
      </c>
      <c r="D15" s="15">
        <v>3657600</v>
      </c>
      <c r="E15" s="16">
        <f t="shared" si="0"/>
        <v>355555296</v>
      </c>
      <c r="F15" s="10" t="s">
        <v>183</v>
      </c>
      <c r="G15" s="7"/>
    </row>
    <row r="16" spans="1:7" x14ac:dyDescent="0.45">
      <c r="A16" s="10">
        <v>5</v>
      </c>
      <c r="B16" s="5" t="s">
        <v>187</v>
      </c>
      <c r="C16" s="14">
        <v>105.67</v>
      </c>
      <c r="D16" s="15">
        <v>5176800</v>
      </c>
      <c r="E16" s="16">
        <f t="shared" si="0"/>
        <v>547032456</v>
      </c>
      <c r="F16" s="10" t="s">
        <v>183</v>
      </c>
      <c r="G16" s="7"/>
    </row>
    <row r="17" spans="1:7" x14ac:dyDescent="0.45">
      <c r="A17" s="10">
        <v>6</v>
      </c>
      <c r="B17" s="5" t="s">
        <v>188</v>
      </c>
      <c r="C17" s="14">
        <v>96.08</v>
      </c>
      <c r="D17" s="15">
        <v>4631600</v>
      </c>
      <c r="E17" s="16">
        <f t="shared" si="0"/>
        <v>445004128</v>
      </c>
      <c r="F17" s="10" t="s">
        <v>183</v>
      </c>
      <c r="G17" s="7"/>
    </row>
    <row r="18" spans="1:7" x14ac:dyDescent="0.45">
      <c r="A18" s="10">
        <v>7</v>
      </c>
      <c r="B18" s="5" t="s">
        <v>189</v>
      </c>
      <c r="C18" s="14">
        <v>94.31</v>
      </c>
      <c r="D18" s="15">
        <v>3365100</v>
      </c>
      <c r="E18" s="16">
        <f t="shared" si="0"/>
        <v>317362581</v>
      </c>
      <c r="F18" s="10" t="s">
        <v>183</v>
      </c>
      <c r="G18" s="7"/>
    </row>
    <row r="19" spans="1:7" x14ac:dyDescent="0.45">
      <c r="A19" s="10">
        <v>8</v>
      </c>
      <c r="B19" s="5" t="s">
        <v>190</v>
      </c>
      <c r="C19" s="14">
        <v>90.68</v>
      </c>
      <c r="D19" s="15">
        <v>6008700</v>
      </c>
      <c r="E19" s="16">
        <f t="shared" si="0"/>
        <v>544868916</v>
      </c>
      <c r="F19" s="10" t="s">
        <v>183</v>
      </c>
      <c r="G19" s="7"/>
    </row>
    <row r="20" spans="1:7" x14ac:dyDescent="0.45">
      <c r="A20" s="10">
        <v>9</v>
      </c>
      <c r="B20" s="5" t="s">
        <v>191</v>
      </c>
      <c r="C20" s="14">
        <v>88.23</v>
      </c>
      <c r="D20" s="15">
        <v>2349900</v>
      </c>
      <c r="E20" s="16">
        <f t="shared" si="0"/>
        <v>207331677</v>
      </c>
      <c r="F20" s="10" t="s">
        <v>183</v>
      </c>
      <c r="G20" s="7"/>
    </row>
    <row r="21" spans="1:7" x14ac:dyDescent="0.45">
      <c r="A21" s="10">
        <v>10</v>
      </c>
      <c r="B21" s="5" t="s">
        <v>192</v>
      </c>
      <c r="C21" s="14">
        <v>92.14</v>
      </c>
      <c r="D21" s="15">
        <v>2605000</v>
      </c>
      <c r="E21" s="16">
        <f t="shared" si="0"/>
        <v>240024700</v>
      </c>
      <c r="F21" s="10" t="s">
        <v>183</v>
      </c>
      <c r="G21" s="7"/>
    </row>
    <row r="22" spans="1:7" x14ac:dyDescent="0.45">
      <c r="A22" s="10">
        <v>11</v>
      </c>
      <c r="B22" s="5" t="s">
        <v>193</v>
      </c>
      <c r="C22" s="14">
        <v>86.18</v>
      </c>
      <c r="D22" s="15">
        <v>13317900</v>
      </c>
      <c r="E22" s="16">
        <f t="shared" si="0"/>
        <v>1147736622</v>
      </c>
      <c r="F22" s="10" t="s">
        <v>183</v>
      </c>
      <c r="G22" s="7"/>
    </row>
    <row r="23" spans="1:7" x14ac:dyDescent="0.45">
      <c r="A23" s="10">
        <v>12</v>
      </c>
      <c r="B23" s="5" t="s">
        <v>194</v>
      </c>
      <c r="C23" s="14">
        <v>90.72</v>
      </c>
      <c r="D23" s="15">
        <v>18913800</v>
      </c>
      <c r="E23" s="16">
        <f t="shared" si="0"/>
        <v>1715859936</v>
      </c>
      <c r="F23" s="10" t="s">
        <v>183</v>
      </c>
      <c r="G23" s="7"/>
    </row>
    <row r="24" spans="1:7" x14ac:dyDescent="0.45">
      <c r="A24" s="10">
        <v>13</v>
      </c>
      <c r="B24" s="5" t="s">
        <v>195</v>
      </c>
      <c r="C24" s="14">
        <v>88.95</v>
      </c>
      <c r="D24" s="15">
        <v>8315500</v>
      </c>
      <c r="E24" s="16">
        <f t="shared" si="0"/>
        <v>739663725</v>
      </c>
      <c r="F24" s="10" t="s">
        <v>183</v>
      </c>
      <c r="G24" s="7"/>
    </row>
    <row r="25" spans="1:7" x14ac:dyDescent="0.45">
      <c r="A25" s="10">
        <v>14</v>
      </c>
      <c r="B25" s="5" t="s">
        <v>196</v>
      </c>
      <c r="C25" s="14">
        <v>89.13</v>
      </c>
      <c r="D25" s="15">
        <v>3335600</v>
      </c>
      <c r="E25" s="16">
        <f t="shared" si="0"/>
        <v>297302028</v>
      </c>
      <c r="F25" s="10" t="s">
        <v>183</v>
      </c>
      <c r="G25" s="7"/>
    </row>
    <row r="26" spans="1:7" x14ac:dyDescent="0.45">
      <c r="A26" s="10">
        <v>15</v>
      </c>
      <c r="B26" s="5" t="s">
        <v>197</v>
      </c>
      <c r="C26" s="14">
        <v>85.54</v>
      </c>
      <c r="D26" s="15">
        <v>4592800</v>
      </c>
      <c r="E26" s="16">
        <f t="shared" si="0"/>
        <v>392868112</v>
      </c>
      <c r="F26" s="10" t="s">
        <v>183</v>
      </c>
      <c r="G26" s="7"/>
    </row>
    <row r="27" spans="1:7" x14ac:dyDescent="0.45">
      <c r="A27" s="10">
        <v>16</v>
      </c>
      <c r="B27" s="5" t="s">
        <v>198</v>
      </c>
      <c r="C27" s="14">
        <v>87</v>
      </c>
      <c r="D27" s="15">
        <v>5385600</v>
      </c>
      <c r="E27" s="16">
        <f t="shared" si="0"/>
        <v>468547200</v>
      </c>
      <c r="F27" s="10" t="s">
        <v>183</v>
      </c>
      <c r="G27" s="7"/>
    </row>
    <row r="28" spans="1:7" x14ac:dyDescent="0.45">
      <c r="A28" s="10">
        <v>17</v>
      </c>
      <c r="B28" s="5" t="s">
        <v>199</v>
      </c>
      <c r="C28" s="14">
        <v>92.47</v>
      </c>
      <c r="D28" s="15">
        <v>5256000</v>
      </c>
      <c r="E28" s="16">
        <f t="shared" si="0"/>
        <v>486022320</v>
      </c>
      <c r="F28" s="10" t="s">
        <v>183</v>
      </c>
      <c r="G28" s="7"/>
    </row>
    <row r="29" spans="1:7" x14ac:dyDescent="0.45">
      <c r="A29" s="10">
        <v>18</v>
      </c>
      <c r="B29" s="5" t="s">
        <v>200</v>
      </c>
      <c r="C29" s="14">
        <v>88.96</v>
      </c>
      <c r="D29" s="15">
        <v>3299800</v>
      </c>
      <c r="E29" s="16">
        <f t="shared" si="0"/>
        <v>293550208</v>
      </c>
      <c r="F29" s="10" t="s">
        <v>183</v>
      </c>
      <c r="G29" s="7"/>
    </row>
    <row r="30" spans="1:7" x14ac:dyDescent="0.45">
      <c r="A30" s="10">
        <v>19</v>
      </c>
      <c r="B30" s="5" t="s">
        <v>201</v>
      </c>
      <c r="C30" s="14">
        <v>88.92</v>
      </c>
      <c r="D30" s="15">
        <v>1946900</v>
      </c>
      <c r="E30" s="16">
        <f t="shared" si="0"/>
        <v>173118348</v>
      </c>
      <c r="F30" s="10" t="s">
        <v>183</v>
      </c>
      <c r="G30" s="7"/>
    </row>
    <row r="31" spans="1:7" x14ac:dyDescent="0.45">
      <c r="A31" s="10">
        <v>20</v>
      </c>
      <c r="B31" s="5" t="s">
        <v>202</v>
      </c>
      <c r="C31" s="14">
        <v>89.46</v>
      </c>
      <c r="D31" s="15">
        <v>3941100</v>
      </c>
      <c r="E31" s="16">
        <f t="shared" si="0"/>
        <v>352570806</v>
      </c>
      <c r="F31" s="10" t="s">
        <v>183</v>
      </c>
      <c r="G31" s="7"/>
    </row>
    <row r="32" spans="1:7" x14ac:dyDescent="0.45">
      <c r="A32" s="10">
        <v>21</v>
      </c>
      <c r="B32" s="5" t="s">
        <v>203</v>
      </c>
      <c r="C32" s="14">
        <v>87.53</v>
      </c>
      <c r="D32" s="15">
        <v>2754000</v>
      </c>
      <c r="E32" s="16">
        <f t="shared" si="0"/>
        <v>241057620</v>
      </c>
      <c r="F32" s="10" t="s">
        <v>183</v>
      </c>
      <c r="G32" s="7"/>
    </row>
    <row r="33" spans="1:7" x14ac:dyDescent="0.45">
      <c r="A33" s="10">
        <v>22</v>
      </c>
      <c r="B33" s="5" t="s">
        <v>204</v>
      </c>
      <c r="C33" s="14">
        <v>89.53</v>
      </c>
      <c r="D33" s="15">
        <v>2424500</v>
      </c>
      <c r="E33" s="16">
        <f t="shared" si="0"/>
        <v>217065485</v>
      </c>
      <c r="F33" s="10" t="s">
        <v>183</v>
      </c>
      <c r="G33" s="7"/>
    </row>
    <row r="34" spans="1:7" x14ac:dyDescent="0.45">
      <c r="A34" s="10">
        <v>23</v>
      </c>
      <c r="B34" s="5" t="s">
        <v>205</v>
      </c>
      <c r="C34" s="14">
        <v>95.31</v>
      </c>
      <c r="D34" s="15">
        <v>3273700</v>
      </c>
      <c r="E34" s="16">
        <f t="shared" si="0"/>
        <v>312016347</v>
      </c>
      <c r="F34" s="10" t="s">
        <v>183</v>
      </c>
      <c r="G34" s="7"/>
    </row>
    <row r="35" spans="1:7" x14ac:dyDescent="0.45">
      <c r="A35" s="10">
        <v>24</v>
      </c>
      <c r="B35" s="5" t="s">
        <v>206</v>
      </c>
      <c r="C35" s="14">
        <v>93.04</v>
      </c>
      <c r="D35" s="15">
        <v>2846900</v>
      </c>
      <c r="E35" s="16">
        <f t="shared" si="0"/>
        <v>264875576.00000003</v>
      </c>
      <c r="F35" s="10" t="s">
        <v>183</v>
      </c>
      <c r="G35" s="7"/>
    </row>
    <row r="36" spans="1:7" x14ac:dyDescent="0.45">
      <c r="A36" s="10">
        <v>25</v>
      </c>
      <c r="B36" s="5" t="s">
        <v>207</v>
      </c>
      <c r="C36" s="14">
        <v>92.78</v>
      </c>
      <c r="D36" s="15">
        <v>2404900</v>
      </c>
      <c r="E36" s="16">
        <f t="shared" si="0"/>
        <v>223126622</v>
      </c>
      <c r="F36" s="10" t="s">
        <v>183</v>
      </c>
      <c r="G36" s="7"/>
    </row>
    <row r="37" spans="1:7" x14ac:dyDescent="0.45">
      <c r="A37" s="10">
        <v>26</v>
      </c>
      <c r="B37" s="5" t="s">
        <v>208</v>
      </c>
      <c r="C37" s="14">
        <v>84.62</v>
      </c>
      <c r="D37" s="15">
        <v>6896800</v>
      </c>
      <c r="E37" s="16">
        <f t="shared" si="0"/>
        <v>583607216</v>
      </c>
      <c r="F37" s="10" t="s">
        <v>183</v>
      </c>
      <c r="G37" s="7"/>
    </row>
    <row r="38" spans="1:7" x14ac:dyDescent="0.45">
      <c r="A38" s="10">
        <v>27</v>
      </c>
      <c r="B38" s="5" t="s">
        <v>209</v>
      </c>
      <c r="C38" s="14">
        <v>83.69</v>
      </c>
      <c r="D38" s="15">
        <v>3198200</v>
      </c>
      <c r="E38" s="16">
        <f t="shared" si="0"/>
        <v>267657358</v>
      </c>
      <c r="F38" s="10" t="s">
        <v>183</v>
      </c>
      <c r="G38" s="7"/>
    </row>
    <row r="39" spans="1:7" x14ac:dyDescent="0.45">
      <c r="A39" s="10">
        <v>28</v>
      </c>
      <c r="B39" s="5" t="s">
        <v>210</v>
      </c>
      <c r="C39" s="14">
        <v>77.489999999999995</v>
      </c>
      <c r="D39" s="15">
        <v>4535600</v>
      </c>
      <c r="E39" s="16">
        <f t="shared" si="0"/>
        <v>351463644</v>
      </c>
      <c r="F39" s="10" t="s">
        <v>183</v>
      </c>
      <c r="G39" s="7"/>
    </row>
    <row r="40" spans="1:7" x14ac:dyDescent="0.45">
      <c r="A40" s="10">
        <v>29</v>
      </c>
      <c r="B40" s="5" t="s">
        <v>211</v>
      </c>
      <c r="C40" s="14">
        <v>79.98</v>
      </c>
      <c r="D40" s="15">
        <v>3950000</v>
      </c>
      <c r="E40" s="16">
        <f t="shared" si="0"/>
        <v>315921000</v>
      </c>
      <c r="F40" s="10" t="s">
        <v>183</v>
      </c>
      <c r="G40" s="7"/>
    </row>
    <row r="41" spans="1:7" x14ac:dyDescent="0.45">
      <c r="A41" s="10">
        <v>30</v>
      </c>
      <c r="B41" s="5" t="s">
        <v>212</v>
      </c>
      <c r="C41" s="14">
        <v>75.86</v>
      </c>
      <c r="D41" s="15">
        <v>3024100</v>
      </c>
      <c r="E41" s="16">
        <f t="shared" si="0"/>
        <v>229408226</v>
      </c>
      <c r="F41" s="10" t="s">
        <v>183</v>
      </c>
      <c r="G41" s="7"/>
    </row>
    <row r="42" spans="1:7" x14ac:dyDescent="0.45">
      <c r="A42" s="10">
        <v>31</v>
      </c>
      <c r="B42" s="5" t="s">
        <v>213</v>
      </c>
      <c r="C42" s="14">
        <v>71.94</v>
      </c>
      <c r="D42" s="15">
        <v>3186000</v>
      </c>
      <c r="E42" s="16">
        <f t="shared" si="0"/>
        <v>229200840</v>
      </c>
      <c r="F42" s="10" t="s">
        <v>183</v>
      </c>
      <c r="G42" s="7"/>
    </row>
    <row r="43" spans="1:7" x14ac:dyDescent="0.45">
      <c r="A43" s="10">
        <v>32</v>
      </c>
      <c r="B43" s="5" t="s">
        <v>214</v>
      </c>
      <c r="C43" s="14">
        <v>65.28</v>
      </c>
      <c r="D43" s="15">
        <v>5501500</v>
      </c>
      <c r="E43" s="16">
        <f t="shared" si="0"/>
        <v>359137920</v>
      </c>
      <c r="F43" s="10" t="s">
        <v>183</v>
      </c>
      <c r="G43" s="7"/>
    </row>
    <row r="44" spans="1:7" x14ac:dyDescent="0.45">
      <c r="A44" s="10">
        <v>33</v>
      </c>
      <c r="B44" s="5" t="s">
        <v>215</v>
      </c>
      <c r="C44" s="14">
        <v>70.510000000000005</v>
      </c>
      <c r="D44" s="15">
        <v>6105300</v>
      </c>
      <c r="E44" s="16">
        <f t="shared" si="0"/>
        <v>430484703.00000006</v>
      </c>
      <c r="F44" s="10" t="s">
        <v>183</v>
      </c>
      <c r="G44" s="7"/>
    </row>
    <row r="45" spans="1:7" x14ac:dyDescent="0.45">
      <c r="A45" s="10">
        <v>34</v>
      </c>
      <c r="B45" s="5" t="s">
        <v>216</v>
      </c>
      <c r="C45" s="14">
        <v>67.7</v>
      </c>
      <c r="D45" s="15">
        <v>4421500</v>
      </c>
      <c r="E45" s="16">
        <f t="shared" si="0"/>
        <v>299335550</v>
      </c>
      <c r="F45" s="10" t="s">
        <v>183</v>
      </c>
      <c r="G45" s="7"/>
    </row>
    <row r="46" spans="1:7" x14ac:dyDescent="0.45">
      <c r="A46" s="10">
        <v>35</v>
      </c>
      <c r="B46" s="5" t="s">
        <v>217</v>
      </c>
      <c r="C46" s="14">
        <v>67.31</v>
      </c>
      <c r="D46" s="15">
        <v>4392500</v>
      </c>
      <c r="E46" s="16">
        <f t="shared" si="0"/>
        <v>295659175</v>
      </c>
      <c r="F46" s="10" t="s">
        <v>183</v>
      </c>
      <c r="G46" s="7"/>
    </row>
    <row r="47" spans="1:7" x14ac:dyDescent="0.45">
      <c r="A47" s="10">
        <v>36</v>
      </c>
      <c r="B47" s="5" t="s">
        <v>218</v>
      </c>
      <c r="C47" s="14">
        <v>74.09</v>
      </c>
      <c r="D47" s="15">
        <v>4140200</v>
      </c>
      <c r="E47" s="16">
        <f t="shared" si="0"/>
        <v>306747418</v>
      </c>
      <c r="F47" s="10" t="s">
        <v>183</v>
      </c>
      <c r="G47" s="7"/>
    </row>
    <row r="48" spans="1:7" x14ac:dyDescent="0.45">
      <c r="A48" s="10">
        <v>37</v>
      </c>
      <c r="B48" s="5" t="s">
        <v>219</v>
      </c>
      <c r="C48" s="14">
        <v>71.959999999999994</v>
      </c>
      <c r="D48" s="15">
        <v>2886000</v>
      </c>
      <c r="E48" s="16">
        <f t="shared" si="0"/>
        <v>207676559.99999997</v>
      </c>
      <c r="F48" s="10" t="s">
        <v>183</v>
      </c>
      <c r="G48" s="7"/>
    </row>
    <row r="49" spans="1:7" x14ac:dyDescent="0.45">
      <c r="A49" s="10">
        <v>38</v>
      </c>
      <c r="B49" s="5" t="s">
        <v>220</v>
      </c>
      <c r="C49" s="14">
        <v>74.459999999999994</v>
      </c>
      <c r="D49" s="15">
        <v>3692400</v>
      </c>
      <c r="E49" s="16">
        <f t="shared" si="0"/>
        <v>274936104</v>
      </c>
      <c r="F49" s="10" t="s">
        <v>183</v>
      </c>
      <c r="G49" s="7"/>
    </row>
    <row r="50" spans="1:7" x14ac:dyDescent="0.45">
      <c r="A50" s="10">
        <v>39</v>
      </c>
      <c r="B50" s="5" t="s">
        <v>221</v>
      </c>
      <c r="C50" s="14">
        <v>68.33</v>
      </c>
      <c r="D50" s="15">
        <v>3788400</v>
      </c>
      <c r="E50" s="16">
        <f t="shared" si="0"/>
        <v>258861372</v>
      </c>
      <c r="F50" s="10" t="s">
        <v>183</v>
      </c>
      <c r="G50" s="7"/>
    </row>
    <row r="51" spans="1:7" x14ac:dyDescent="0.45">
      <c r="A51" s="10">
        <v>40</v>
      </c>
      <c r="B51" s="5" t="s">
        <v>222</v>
      </c>
      <c r="C51" s="14">
        <v>70.34</v>
      </c>
      <c r="D51" s="15">
        <v>2887200</v>
      </c>
      <c r="E51" s="16">
        <f t="shared" si="0"/>
        <v>203085648</v>
      </c>
      <c r="F51" s="10" t="s">
        <v>183</v>
      </c>
      <c r="G51" s="7"/>
    </row>
    <row r="52" spans="1:7" x14ac:dyDescent="0.45">
      <c r="A52" s="10">
        <v>41</v>
      </c>
      <c r="B52" s="5" t="s">
        <v>223</v>
      </c>
      <c r="C52" s="14">
        <v>73.55</v>
      </c>
      <c r="D52" s="15">
        <v>2564100</v>
      </c>
      <c r="E52" s="16">
        <f t="shared" si="0"/>
        <v>188589555</v>
      </c>
      <c r="F52" s="10" t="s">
        <v>183</v>
      </c>
      <c r="G52" s="7"/>
    </row>
    <row r="53" spans="1:7" x14ac:dyDescent="0.45">
      <c r="A53" s="10">
        <v>42</v>
      </c>
      <c r="B53" s="5" t="s">
        <v>224</v>
      </c>
      <c r="C53" s="14">
        <v>73.66</v>
      </c>
      <c r="D53" s="15">
        <v>2586300</v>
      </c>
      <c r="E53" s="16">
        <f t="shared" si="0"/>
        <v>190506858</v>
      </c>
      <c r="F53" s="10" t="s">
        <v>183</v>
      </c>
      <c r="G53" s="7"/>
    </row>
    <row r="54" spans="1:7" x14ac:dyDescent="0.45">
      <c r="A54" s="10">
        <v>43</v>
      </c>
      <c r="B54" s="5" t="s">
        <v>225</v>
      </c>
      <c r="C54" s="14">
        <v>74.66</v>
      </c>
      <c r="D54" s="15">
        <v>3502100</v>
      </c>
      <c r="E54" s="16">
        <f t="shared" si="0"/>
        <v>261466786</v>
      </c>
      <c r="F54" s="10" t="s">
        <v>183</v>
      </c>
      <c r="G54" s="7"/>
    </row>
    <row r="55" spans="1:7" x14ac:dyDescent="0.45">
      <c r="A55" s="10">
        <v>44</v>
      </c>
      <c r="B55" s="5" t="s">
        <v>226</v>
      </c>
      <c r="C55" s="14">
        <v>74.41</v>
      </c>
      <c r="D55" s="15">
        <v>2421100</v>
      </c>
      <c r="E55" s="16">
        <f t="shared" si="0"/>
        <v>180154051</v>
      </c>
      <c r="F55" s="10" t="s">
        <v>183</v>
      </c>
      <c r="G55" s="7"/>
    </row>
    <row r="56" spans="1:7" x14ac:dyDescent="0.45">
      <c r="A56" s="10">
        <v>45</v>
      </c>
      <c r="B56" s="5" t="s">
        <v>227</v>
      </c>
      <c r="C56" s="14">
        <v>70.989999999999995</v>
      </c>
      <c r="D56" s="15">
        <v>7158400</v>
      </c>
      <c r="E56" s="16">
        <f t="shared" si="0"/>
        <v>508174815.99999994</v>
      </c>
      <c r="F56" s="10" t="s">
        <v>183</v>
      </c>
      <c r="G56" s="7"/>
    </row>
    <row r="57" spans="1:7" x14ac:dyDescent="0.45">
      <c r="A57" s="10">
        <v>46</v>
      </c>
      <c r="B57" s="5" t="s">
        <v>228</v>
      </c>
      <c r="C57" s="14">
        <v>69.83</v>
      </c>
      <c r="D57" s="15">
        <v>4159000</v>
      </c>
      <c r="E57" s="16">
        <f t="shared" si="0"/>
        <v>290422970</v>
      </c>
      <c r="F57" s="10" t="s">
        <v>183</v>
      </c>
      <c r="G57" s="7"/>
    </row>
    <row r="58" spans="1:7" x14ac:dyDescent="0.45">
      <c r="A58" s="10">
        <v>47</v>
      </c>
      <c r="B58" s="5" t="s">
        <v>229</v>
      </c>
      <c r="C58" s="14">
        <v>68.55</v>
      </c>
      <c r="D58" s="15">
        <v>4180600</v>
      </c>
      <c r="E58" s="16">
        <f t="shared" si="0"/>
        <v>286580130</v>
      </c>
      <c r="F58" s="10" t="s">
        <v>183</v>
      </c>
      <c r="G58" s="7"/>
    </row>
    <row r="59" spans="1:7" x14ac:dyDescent="0.45">
      <c r="A59" s="10">
        <v>48</v>
      </c>
      <c r="B59" s="5" t="s">
        <v>230</v>
      </c>
      <c r="C59" s="14">
        <v>68.61</v>
      </c>
      <c r="D59" s="15">
        <v>3093400</v>
      </c>
      <c r="E59" s="16">
        <f t="shared" si="0"/>
        <v>212238174</v>
      </c>
      <c r="F59" s="10" t="s">
        <v>183</v>
      </c>
      <c r="G59" s="7"/>
    </row>
    <row r="60" spans="1:7" x14ac:dyDescent="0.45">
      <c r="A60" s="10">
        <v>49</v>
      </c>
      <c r="B60" s="5" t="s">
        <v>231</v>
      </c>
      <c r="C60" s="14">
        <v>65.52</v>
      </c>
      <c r="D60" s="15">
        <v>3904600</v>
      </c>
      <c r="E60" s="16">
        <f t="shared" si="0"/>
        <v>255829391.99999997</v>
      </c>
      <c r="F60" s="10" t="s">
        <v>183</v>
      </c>
      <c r="G60" s="7"/>
    </row>
    <row r="61" spans="1:7" x14ac:dyDescent="0.45">
      <c r="A61" s="10">
        <v>50</v>
      </c>
      <c r="B61" s="5" t="s">
        <v>232</v>
      </c>
      <c r="C61" s="14">
        <v>61.26</v>
      </c>
      <c r="D61" s="15">
        <v>5132900</v>
      </c>
      <c r="E61" s="16">
        <f t="shared" si="0"/>
        <v>314441454</v>
      </c>
      <c r="F61" s="10" t="s">
        <v>183</v>
      </c>
      <c r="G61" s="7"/>
    </row>
    <row r="62" spans="1:7" x14ac:dyDescent="0.45">
      <c r="A62" s="10">
        <v>51</v>
      </c>
      <c r="B62" s="5" t="s">
        <v>233</v>
      </c>
      <c r="C62" s="14">
        <v>63.16</v>
      </c>
      <c r="D62" s="15">
        <v>3978500</v>
      </c>
      <c r="E62" s="16">
        <f t="shared" si="0"/>
        <v>251282060</v>
      </c>
      <c r="F62" s="10" t="s">
        <v>183</v>
      </c>
      <c r="G62" s="7"/>
    </row>
    <row r="63" spans="1:7" x14ac:dyDescent="0.45">
      <c r="A63" s="10">
        <v>52</v>
      </c>
      <c r="B63" s="5" t="s">
        <v>234</v>
      </c>
      <c r="C63" s="14">
        <v>61.66</v>
      </c>
      <c r="D63" s="15">
        <v>3274700</v>
      </c>
      <c r="E63" s="16">
        <f t="shared" si="0"/>
        <v>201918002</v>
      </c>
      <c r="F63" s="10" t="s">
        <v>183</v>
      </c>
      <c r="G63" s="7"/>
    </row>
    <row r="64" spans="1:7" x14ac:dyDescent="0.45">
      <c r="A64" s="10">
        <v>53</v>
      </c>
      <c r="B64" s="5" t="s">
        <v>235</v>
      </c>
      <c r="C64" s="14">
        <v>59.56</v>
      </c>
      <c r="D64" s="15">
        <v>3073900</v>
      </c>
      <c r="E64" s="16">
        <f t="shared" si="0"/>
        <v>183081484</v>
      </c>
      <c r="F64" s="10" t="s">
        <v>183</v>
      </c>
      <c r="G64" s="7"/>
    </row>
    <row r="65" spans="1:7" x14ac:dyDescent="0.45">
      <c r="A65" s="10">
        <v>54</v>
      </c>
      <c r="B65" s="5" t="s">
        <v>236</v>
      </c>
      <c r="C65" s="14">
        <v>63.05</v>
      </c>
      <c r="D65" s="15">
        <v>3154800</v>
      </c>
      <c r="E65" s="16">
        <f t="shared" si="0"/>
        <v>198910140</v>
      </c>
      <c r="F65" s="10" t="s">
        <v>183</v>
      </c>
      <c r="G65" s="7"/>
    </row>
    <row r="66" spans="1:7" x14ac:dyDescent="0.45">
      <c r="A66" s="10">
        <v>55</v>
      </c>
      <c r="B66" s="5" t="s">
        <v>237</v>
      </c>
      <c r="C66" s="14">
        <v>62.05</v>
      </c>
      <c r="D66" s="15">
        <v>2579800</v>
      </c>
      <c r="E66" s="16">
        <f t="shared" si="0"/>
        <v>160076590</v>
      </c>
      <c r="F66" s="10" t="s">
        <v>183</v>
      </c>
      <c r="G66" s="7"/>
    </row>
    <row r="67" spans="1:7" x14ac:dyDescent="0.45">
      <c r="A67" s="10">
        <v>56</v>
      </c>
      <c r="B67" s="5" t="s">
        <v>238</v>
      </c>
      <c r="C67" s="14">
        <v>61.93</v>
      </c>
      <c r="D67" s="15">
        <v>3116200</v>
      </c>
      <c r="E67" s="16">
        <f t="shared" si="0"/>
        <v>192986266</v>
      </c>
      <c r="F67" s="10" t="s">
        <v>183</v>
      </c>
      <c r="G67" s="7"/>
    </row>
    <row r="68" spans="1:7" x14ac:dyDescent="0.45">
      <c r="A68" s="10">
        <v>57</v>
      </c>
      <c r="B68" s="5" t="s">
        <v>239</v>
      </c>
      <c r="C68" s="14">
        <v>59.31</v>
      </c>
      <c r="D68" s="15">
        <v>4267900</v>
      </c>
      <c r="E68" s="16">
        <f t="shared" si="0"/>
        <v>253129149</v>
      </c>
      <c r="F68" s="10" t="s">
        <v>183</v>
      </c>
      <c r="G68" s="7"/>
    </row>
    <row r="69" spans="1:7" x14ac:dyDescent="0.45">
      <c r="A69" s="10">
        <v>58</v>
      </c>
      <c r="B69" s="5" t="s">
        <v>240</v>
      </c>
      <c r="C69" s="14">
        <v>61.52</v>
      </c>
      <c r="D69" s="15">
        <v>4402500</v>
      </c>
      <c r="E69" s="16">
        <f t="shared" si="0"/>
        <v>270841800</v>
      </c>
      <c r="F69" s="10" t="s">
        <v>183</v>
      </c>
      <c r="G69" s="7"/>
    </row>
    <row r="70" spans="1:7" x14ac:dyDescent="0.45">
      <c r="A70" s="10">
        <v>59</v>
      </c>
      <c r="B70" s="5" t="s">
        <v>241</v>
      </c>
      <c r="C70" s="14">
        <v>57</v>
      </c>
      <c r="D70" s="15">
        <v>5909400</v>
      </c>
      <c r="E70" s="16">
        <f t="shared" si="0"/>
        <v>336835800</v>
      </c>
      <c r="F70" s="10" t="s">
        <v>183</v>
      </c>
      <c r="G70" s="7"/>
    </row>
    <row r="71" spans="1:7" x14ac:dyDescent="0.45">
      <c r="A71" s="10">
        <v>60</v>
      </c>
      <c r="B71" s="5" t="s">
        <v>242</v>
      </c>
      <c r="C71" s="14">
        <v>57.89</v>
      </c>
      <c r="D71" s="15">
        <v>4323600</v>
      </c>
      <c r="E71" s="16">
        <f t="shared" si="0"/>
        <v>250293204</v>
      </c>
      <c r="F71" s="10" t="s">
        <v>183</v>
      </c>
      <c r="G71" s="7"/>
    </row>
    <row r="72" spans="1:7" x14ac:dyDescent="0.45">
      <c r="A72" s="10">
        <v>61</v>
      </c>
      <c r="B72" s="5" t="s">
        <v>243</v>
      </c>
      <c r="C72" s="14">
        <v>56.99</v>
      </c>
      <c r="D72" s="15">
        <v>6062800</v>
      </c>
      <c r="E72" s="16">
        <f t="shared" si="0"/>
        <v>345518972</v>
      </c>
      <c r="F72" s="10" t="s">
        <v>183</v>
      </c>
      <c r="G72" s="7"/>
    </row>
    <row r="73" spans="1:7" x14ac:dyDescent="0.45">
      <c r="A73" s="10">
        <v>62</v>
      </c>
      <c r="B73" s="5" t="s">
        <v>244</v>
      </c>
      <c r="C73" s="14">
        <v>57.33</v>
      </c>
      <c r="D73" s="15">
        <v>5095800</v>
      </c>
      <c r="E73" s="16">
        <f t="shared" si="0"/>
        <v>292142214</v>
      </c>
      <c r="F73" s="10" t="s">
        <v>183</v>
      </c>
      <c r="G73" s="7"/>
    </row>
    <row r="74" spans="1:7" x14ac:dyDescent="0.45">
      <c r="A74" s="10">
        <v>63</v>
      </c>
      <c r="B74" s="5" t="s">
        <v>245</v>
      </c>
      <c r="C74" s="14">
        <v>52.49</v>
      </c>
      <c r="D74" s="15">
        <v>9471900</v>
      </c>
      <c r="E74" s="16">
        <f t="shared" si="0"/>
        <v>497180031</v>
      </c>
      <c r="F74" s="10" t="s">
        <v>183</v>
      </c>
      <c r="G74" s="7"/>
    </row>
    <row r="75" spans="1:7" x14ac:dyDescent="0.45">
      <c r="A75" s="10">
        <v>64</v>
      </c>
      <c r="B75" s="5" t="s">
        <v>246</v>
      </c>
      <c r="C75" s="14">
        <v>54.85</v>
      </c>
      <c r="D75" s="15">
        <v>5498100</v>
      </c>
      <c r="E75" s="16">
        <f t="shared" si="0"/>
        <v>301570785</v>
      </c>
      <c r="F75" s="10" t="s">
        <v>183</v>
      </c>
      <c r="G75" s="7"/>
    </row>
    <row r="76" spans="1:7" x14ac:dyDescent="0.45">
      <c r="A76" s="10">
        <v>65</v>
      </c>
      <c r="B76" s="5" t="s">
        <v>247</v>
      </c>
      <c r="C76" s="14">
        <v>52.09</v>
      </c>
      <c r="D76" s="15">
        <v>4048700</v>
      </c>
      <c r="E76" s="16">
        <f t="shared" si="0"/>
        <v>210896783</v>
      </c>
      <c r="F76" s="10" t="s">
        <v>183</v>
      </c>
      <c r="G76" s="7"/>
    </row>
    <row r="77" spans="1:7" x14ac:dyDescent="0.45">
      <c r="A77" s="10">
        <v>66</v>
      </c>
      <c r="B77" s="5" t="s">
        <v>248</v>
      </c>
      <c r="C77" s="14">
        <v>54.22</v>
      </c>
      <c r="D77" s="15">
        <v>3734700</v>
      </c>
      <c r="E77" s="16">
        <f t="shared" ref="E77:E101" si="1">C77*D77</f>
        <v>202495434</v>
      </c>
      <c r="F77" s="10" t="s">
        <v>183</v>
      </c>
      <c r="G77" s="7"/>
    </row>
    <row r="78" spans="1:7" x14ac:dyDescent="0.45">
      <c r="A78" s="10">
        <v>67</v>
      </c>
      <c r="B78" s="5" t="s">
        <v>249</v>
      </c>
      <c r="C78" s="14">
        <v>53.47</v>
      </c>
      <c r="D78" s="15">
        <v>2749700</v>
      </c>
      <c r="E78" s="16">
        <f t="shared" si="1"/>
        <v>147026459</v>
      </c>
      <c r="F78" s="10" t="s">
        <v>183</v>
      </c>
      <c r="G78" s="7"/>
    </row>
    <row r="79" spans="1:7" x14ac:dyDescent="0.45">
      <c r="A79" s="10">
        <v>68</v>
      </c>
      <c r="B79" s="5" t="s">
        <v>250</v>
      </c>
      <c r="C79" s="14">
        <v>55.82</v>
      </c>
      <c r="D79" s="15">
        <v>3929400</v>
      </c>
      <c r="E79" s="16">
        <f t="shared" si="1"/>
        <v>219339108</v>
      </c>
      <c r="F79" s="10" t="s">
        <v>183</v>
      </c>
      <c r="G79" s="7"/>
    </row>
    <row r="80" spans="1:7" x14ac:dyDescent="0.45">
      <c r="A80" s="10">
        <v>69</v>
      </c>
      <c r="B80" s="5" t="s">
        <v>251</v>
      </c>
      <c r="C80" s="14">
        <v>54.67</v>
      </c>
      <c r="D80" s="15">
        <v>2815000</v>
      </c>
      <c r="E80" s="16">
        <f t="shared" si="1"/>
        <v>153896050</v>
      </c>
      <c r="F80" s="10" t="s">
        <v>183</v>
      </c>
      <c r="G80" s="7"/>
    </row>
    <row r="81" spans="1:7" x14ac:dyDescent="0.45">
      <c r="A81" s="10">
        <v>70</v>
      </c>
      <c r="B81" s="5" t="s">
        <v>252</v>
      </c>
      <c r="C81" s="14">
        <v>56.18</v>
      </c>
      <c r="D81" s="15">
        <v>2949100</v>
      </c>
      <c r="E81" s="16">
        <f t="shared" si="1"/>
        <v>165680438</v>
      </c>
      <c r="F81" s="10" t="s">
        <v>183</v>
      </c>
      <c r="G81" s="7"/>
    </row>
    <row r="82" spans="1:7" x14ac:dyDescent="0.45">
      <c r="A82" s="10">
        <v>71</v>
      </c>
      <c r="B82" s="5" t="s">
        <v>253</v>
      </c>
      <c r="C82" s="14">
        <v>56.8</v>
      </c>
      <c r="D82" s="15">
        <v>4809100</v>
      </c>
      <c r="E82" s="16">
        <f t="shared" si="1"/>
        <v>273156880</v>
      </c>
      <c r="F82" s="10" t="s">
        <v>183</v>
      </c>
      <c r="G82" s="7"/>
    </row>
    <row r="83" spans="1:7" x14ac:dyDescent="0.45">
      <c r="A83" s="10">
        <v>72</v>
      </c>
      <c r="B83" s="5" t="s">
        <v>254</v>
      </c>
      <c r="C83" s="14">
        <v>57.3</v>
      </c>
      <c r="D83" s="15">
        <v>3232800</v>
      </c>
      <c r="E83" s="16">
        <f t="shared" si="1"/>
        <v>185239440</v>
      </c>
      <c r="F83" s="10" t="s">
        <v>183</v>
      </c>
      <c r="G83" s="7"/>
    </row>
    <row r="84" spans="1:7" x14ac:dyDescent="0.45">
      <c r="A84" s="10">
        <v>73</v>
      </c>
      <c r="B84" s="5" t="s">
        <v>255</v>
      </c>
      <c r="C84" s="14">
        <v>65.19</v>
      </c>
      <c r="D84" s="15">
        <v>11464700</v>
      </c>
      <c r="E84" s="16">
        <f t="shared" si="1"/>
        <v>747383793</v>
      </c>
      <c r="F84" s="10" t="s">
        <v>183</v>
      </c>
      <c r="G84" s="7"/>
    </row>
    <row r="85" spans="1:7" x14ac:dyDescent="0.45">
      <c r="A85" s="10">
        <v>74</v>
      </c>
      <c r="B85" s="5" t="s">
        <v>256</v>
      </c>
      <c r="C85" s="14">
        <v>64.13</v>
      </c>
      <c r="D85" s="15">
        <v>10066300</v>
      </c>
      <c r="E85" s="16">
        <f t="shared" si="1"/>
        <v>645551819</v>
      </c>
      <c r="F85" s="10" t="s">
        <v>183</v>
      </c>
      <c r="G85" s="7"/>
    </row>
    <row r="86" spans="1:7" x14ac:dyDescent="0.45">
      <c r="A86" s="10">
        <v>75</v>
      </c>
      <c r="B86" s="5" t="s">
        <v>257</v>
      </c>
      <c r="C86" s="14">
        <v>63.49</v>
      </c>
      <c r="D86" s="15">
        <v>6337700</v>
      </c>
      <c r="E86" s="16">
        <f t="shared" si="1"/>
        <v>402380573</v>
      </c>
      <c r="F86" s="10" t="s">
        <v>183</v>
      </c>
      <c r="G86" s="7"/>
    </row>
    <row r="87" spans="1:7" x14ac:dyDescent="0.45">
      <c r="A87" s="10">
        <v>76</v>
      </c>
      <c r="B87" s="5" t="s">
        <v>258</v>
      </c>
      <c r="C87" s="14">
        <v>63.27</v>
      </c>
      <c r="D87" s="15">
        <v>3585300</v>
      </c>
      <c r="E87" s="16">
        <f t="shared" si="1"/>
        <v>226841931</v>
      </c>
      <c r="F87" s="10" t="s">
        <v>183</v>
      </c>
      <c r="G87" s="7"/>
    </row>
    <row r="88" spans="1:7" x14ac:dyDescent="0.45">
      <c r="A88" s="10">
        <v>77</v>
      </c>
      <c r="B88" s="5" t="s">
        <v>259</v>
      </c>
      <c r="C88" s="14">
        <v>58.43</v>
      </c>
      <c r="D88" s="15">
        <v>5122400</v>
      </c>
      <c r="E88" s="16">
        <f t="shared" si="1"/>
        <v>299301832</v>
      </c>
      <c r="F88" s="10" t="s">
        <v>183</v>
      </c>
      <c r="G88" s="7"/>
    </row>
    <row r="89" spans="1:7" x14ac:dyDescent="0.45">
      <c r="A89" s="10">
        <v>78</v>
      </c>
      <c r="B89" s="5" t="s">
        <v>260</v>
      </c>
      <c r="C89" s="14">
        <v>63.4</v>
      </c>
      <c r="D89" s="15">
        <v>4224800</v>
      </c>
      <c r="E89" s="16">
        <f t="shared" si="1"/>
        <v>267852320</v>
      </c>
      <c r="F89" s="10" t="s">
        <v>505</v>
      </c>
      <c r="G89" s="7"/>
    </row>
    <row r="90" spans="1:7" x14ac:dyDescent="0.45">
      <c r="A90" s="10">
        <v>79</v>
      </c>
      <c r="B90" s="5" t="s">
        <v>261</v>
      </c>
      <c r="C90" s="14">
        <v>58.52</v>
      </c>
      <c r="D90" s="15">
        <v>3512200</v>
      </c>
      <c r="E90" s="16">
        <f t="shared" si="1"/>
        <v>205533944</v>
      </c>
      <c r="F90" s="10" t="s">
        <v>183</v>
      </c>
      <c r="G90" s="7"/>
    </row>
    <row r="91" spans="1:7" x14ac:dyDescent="0.45">
      <c r="A91" s="10">
        <v>80</v>
      </c>
      <c r="B91" s="5" t="s">
        <v>262</v>
      </c>
      <c r="C91" s="14">
        <v>57.73</v>
      </c>
      <c r="D91" s="15">
        <v>3191100</v>
      </c>
      <c r="E91" s="16">
        <f t="shared" si="1"/>
        <v>184222203</v>
      </c>
      <c r="F91" s="10" t="s">
        <v>183</v>
      </c>
      <c r="G91" s="7"/>
    </row>
    <row r="92" spans="1:7" x14ac:dyDescent="0.45">
      <c r="A92" s="10">
        <v>81</v>
      </c>
      <c r="B92" s="5" t="s">
        <v>263</v>
      </c>
      <c r="C92" s="14">
        <v>56.19</v>
      </c>
      <c r="D92" s="15">
        <v>3479200</v>
      </c>
      <c r="E92" s="16">
        <f t="shared" si="1"/>
        <v>195496248</v>
      </c>
      <c r="F92" s="10" t="s">
        <v>183</v>
      </c>
      <c r="G92" s="7"/>
    </row>
    <row r="93" spans="1:7" x14ac:dyDescent="0.45">
      <c r="A93" s="10">
        <v>82</v>
      </c>
      <c r="B93" s="5" t="s">
        <v>264</v>
      </c>
      <c r="C93" s="14">
        <v>54.82</v>
      </c>
      <c r="D93" s="15">
        <v>2749300</v>
      </c>
      <c r="E93" s="16">
        <f t="shared" si="1"/>
        <v>150716626</v>
      </c>
      <c r="F93" s="10" t="s">
        <v>183</v>
      </c>
      <c r="G93" s="7"/>
    </row>
    <row r="94" spans="1:7" x14ac:dyDescent="0.45">
      <c r="A94" s="10">
        <v>83</v>
      </c>
      <c r="B94" s="5" t="s">
        <v>265</v>
      </c>
      <c r="C94" s="14">
        <v>58.78</v>
      </c>
      <c r="D94" s="15">
        <v>3965800</v>
      </c>
      <c r="E94" s="16">
        <f t="shared" si="1"/>
        <v>233109724</v>
      </c>
      <c r="F94" s="10" t="s">
        <v>183</v>
      </c>
      <c r="G94" s="7"/>
    </row>
    <row r="95" spans="1:7" x14ac:dyDescent="0.45">
      <c r="A95" s="10">
        <v>84</v>
      </c>
      <c r="B95" s="5" t="s">
        <v>266</v>
      </c>
      <c r="C95" s="14">
        <v>57.75</v>
      </c>
      <c r="D95" s="15">
        <v>4625800</v>
      </c>
      <c r="E95" s="16">
        <f t="shared" si="1"/>
        <v>267139950</v>
      </c>
      <c r="F95" s="10" t="s">
        <v>183</v>
      </c>
      <c r="G95" s="7"/>
    </row>
    <row r="96" spans="1:7" x14ac:dyDescent="0.45">
      <c r="A96" s="10">
        <v>85</v>
      </c>
      <c r="B96" s="5" t="s">
        <v>152</v>
      </c>
      <c r="C96" s="14">
        <v>57.02</v>
      </c>
      <c r="D96" s="15">
        <v>4014700</v>
      </c>
      <c r="E96" s="16">
        <f t="shared" si="1"/>
        <v>228918194</v>
      </c>
      <c r="F96" s="10" t="s">
        <v>183</v>
      </c>
      <c r="G96" s="7"/>
    </row>
    <row r="97" spans="1:7" x14ac:dyDescent="0.45">
      <c r="A97" s="10">
        <v>86</v>
      </c>
      <c r="B97" s="5" t="s">
        <v>154</v>
      </c>
      <c r="C97" s="14">
        <v>56.34</v>
      </c>
      <c r="D97" s="15">
        <v>3132700</v>
      </c>
      <c r="E97" s="16">
        <f t="shared" si="1"/>
        <v>176496318</v>
      </c>
      <c r="F97" s="10" t="s">
        <v>183</v>
      </c>
      <c r="G97" s="7"/>
    </row>
    <row r="98" spans="1:7" x14ac:dyDescent="0.45">
      <c r="A98" s="10">
        <v>87</v>
      </c>
      <c r="B98" s="5" t="s">
        <v>155</v>
      </c>
      <c r="C98" s="14">
        <v>56.16</v>
      </c>
      <c r="D98" s="15">
        <v>3124900</v>
      </c>
      <c r="E98" s="16">
        <f t="shared" si="1"/>
        <v>175494384</v>
      </c>
      <c r="F98" s="10" t="s">
        <v>183</v>
      </c>
      <c r="G98" s="7"/>
    </row>
    <row r="99" spans="1:7" x14ac:dyDescent="0.45">
      <c r="A99" s="10">
        <v>88</v>
      </c>
      <c r="B99" s="5" t="s">
        <v>156</v>
      </c>
      <c r="C99" s="14">
        <v>54.21</v>
      </c>
      <c r="D99" s="15">
        <v>6964900</v>
      </c>
      <c r="E99" s="16">
        <f t="shared" si="1"/>
        <v>377567229</v>
      </c>
      <c r="F99" s="10" t="s">
        <v>183</v>
      </c>
      <c r="G99" s="7"/>
    </row>
    <row r="100" spans="1:7" x14ac:dyDescent="0.45">
      <c r="A100" s="10">
        <v>89</v>
      </c>
      <c r="B100" s="5" t="s">
        <v>159</v>
      </c>
      <c r="C100" s="14">
        <v>51.09</v>
      </c>
      <c r="D100" s="15">
        <v>4661800</v>
      </c>
      <c r="E100" s="16">
        <f t="shared" si="1"/>
        <v>238171362.00000003</v>
      </c>
      <c r="F100" s="10" t="s">
        <v>183</v>
      </c>
      <c r="G100" s="7"/>
    </row>
    <row r="101" spans="1:7" x14ac:dyDescent="0.45">
      <c r="A101" s="10">
        <v>90</v>
      </c>
      <c r="B101" s="5" t="s">
        <v>160</v>
      </c>
      <c r="C101" s="14">
        <v>50.8</v>
      </c>
      <c r="D101" s="15">
        <v>3683300</v>
      </c>
      <c r="E101" s="16">
        <f t="shared" si="1"/>
        <v>187111640</v>
      </c>
      <c r="F101" s="10" t="s">
        <v>183</v>
      </c>
      <c r="G101" s="7"/>
    </row>
    <row r="103" spans="1:7" x14ac:dyDescent="0.45">
      <c r="A103" s="3" t="s">
        <v>267</v>
      </c>
    </row>
    <row r="104" spans="1:7" x14ac:dyDescent="0.45">
      <c r="A104" s="5" t="s">
        <v>268</v>
      </c>
      <c r="B104" s="38">
        <f>COUNT(A12:A101)</f>
        <v>90</v>
      </c>
      <c r="C104" s="29"/>
      <c r="D104" s="30" t="s">
        <v>269</v>
      </c>
      <c r="E104" s="39"/>
      <c r="F104" s="39"/>
      <c r="G104" s="40"/>
    </row>
    <row r="105" spans="1:7" x14ac:dyDescent="0.45">
      <c r="A105" s="5" t="s">
        <v>270</v>
      </c>
      <c r="B105" s="38">
        <f>COUNTIF(F12:F101,"TRADING_HALT")</f>
        <v>0</v>
      </c>
      <c r="C105" s="29"/>
      <c r="D105" s="30" t="s">
        <v>271</v>
      </c>
      <c r="E105" s="39"/>
      <c r="F105" s="39"/>
      <c r="G105" s="40"/>
    </row>
    <row r="106" spans="1:7" x14ac:dyDescent="0.45">
      <c r="A106" s="5" t="s">
        <v>272</v>
      </c>
      <c r="B106" s="38">
        <f>COUNTIF(F12:F101,"DATA_MISSING")</f>
        <v>0</v>
      </c>
      <c r="C106" s="29"/>
      <c r="D106" s="30" t="s">
        <v>273</v>
      </c>
      <c r="E106" s="39"/>
      <c r="F106" s="39"/>
      <c r="G106" s="40"/>
    </row>
    <row r="107" spans="1:7" x14ac:dyDescent="0.45">
      <c r="A107" s="5" t="s">
        <v>274</v>
      </c>
      <c r="B107" s="38">
        <f>SUM(E12:E101)</f>
        <v>28363930310</v>
      </c>
      <c r="C107" s="29"/>
      <c r="D107" s="30" t="s">
        <v>275</v>
      </c>
      <c r="E107" s="39"/>
      <c r="F107" s="39"/>
      <c r="G107" s="40"/>
    </row>
    <row r="108" spans="1:7" x14ac:dyDescent="0.45">
      <c r="A108" s="5" t="s">
        <v>276</v>
      </c>
      <c r="B108" s="41">
        <f>B107/(B104-B106)</f>
        <v>315154781.22222221</v>
      </c>
      <c r="C108" s="29"/>
      <c r="D108" s="30" t="s">
        <v>277</v>
      </c>
      <c r="E108" s="39"/>
      <c r="F108" s="39"/>
      <c r="G108" s="40"/>
    </row>
    <row r="110" spans="1:7" x14ac:dyDescent="0.45">
      <c r="A110" s="36" t="s">
        <v>278</v>
      </c>
      <c r="B110" s="29"/>
      <c r="C110" s="29"/>
      <c r="D110" s="29"/>
      <c r="E110" s="29"/>
      <c r="F110" s="29"/>
      <c r="G110" s="29"/>
    </row>
    <row r="111" spans="1:7" x14ac:dyDescent="0.45">
      <c r="A111" s="35" t="s">
        <v>279</v>
      </c>
      <c r="B111" s="29"/>
      <c r="C111" s="29"/>
      <c r="D111" s="29"/>
      <c r="E111" s="29"/>
      <c r="F111" s="29"/>
      <c r="G111" s="29"/>
    </row>
    <row r="112" spans="1:7" x14ac:dyDescent="0.45">
      <c r="A112" s="35" t="s">
        <v>280</v>
      </c>
      <c r="B112" s="29"/>
      <c r="C112" s="29"/>
      <c r="D112" s="29"/>
      <c r="E112" s="29"/>
      <c r="F112" s="29"/>
      <c r="G112" s="29"/>
    </row>
  </sheetData>
  <mergeCells count="18">
    <mergeCell ref="A112:G112"/>
    <mergeCell ref="D106:G106"/>
    <mergeCell ref="B105:C105"/>
    <mergeCell ref="B106:C106"/>
    <mergeCell ref="A5:G5"/>
    <mergeCell ref="A111:G111"/>
    <mergeCell ref="A110:G110"/>
    <mergeCell ref="A4:G4"/>
    <mergeCell ref="B107:C107"/>
    <mergeCell ref="D107:G107"/>
    <mergeCell ref="D108:G108"/>
    <mergeCell ref="D104:G104"/>
    <mergeCell ref="B108:C108"/>
    <mergeCell ref="A7:G7"/>
    <mergeCell ref="A8:G8"/>
    <mergeCell ref="B104:C104"/>
    <mergeCell ref="A6:G6"/>
    <mergeCell ref="D105:G105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showGridLines="0" zoomScale="110" workbookViewId="0">
      <pane ySplit="16" topLeftCell="A35" activePane="bottomLeft" state="frozen"/>
      <selection pane="bottomLeft" activeCell="A43" sqref="A43"/>
    </sheetView>
  </sheetViews>
  <sheetFormatPr defaultRowHeight="17" x14ac:dyDescent="0.45"/>
  <cols>
    <col min="1" max="1" width="6" customWidth="1"/>
    <col min="2" max="2" width="14" customWidth="1"/>
    <col min="3" max="3" width="22" customWidth="1"/>
    <col min="4" max="4" width="16" customWidth="1"/>
    <col min="5" max="6" width="18" customWidth="1"/>
    <col min="7" max="7" width="30" customWidth="1"/>
  </cols>
  <sheetData>
    <row r="1" spans="1:7" ht="24" customHeight="1" x14ac:dyDescent="0.7">
      <c r="A1" s="1" t="s">
        <v>281</v>
      </c>
    </row>
    <row r="2" spans="1:7" x14ac:dyDescent="0.45">
      <c r="A2" s="2" t="s">
        <v>282</v>
      </c>
    </row>
    <row r="4" spans="1:7" x14ac:dyDescent="0.45">
      <c r="A4" s="28" t="s">
        <v>143</v>
      </c>
      <c r="B4" s="29"/>
      <c r="C4" s="29"/>
      <c r="D4" s="29"/>
      <c r="E4" s="29"/>
      <c r="F4" s="29"/>
      <c r="G4" s="29"/>
    </row>
    <row r="5" spans="1:7" x14ac:dyDescent="0.45">
      <c r="A5" s="31" t="s">
        <v>283</v>
      </c>
      <c r="B5" s="29"/>
      <c r="C5" s="29"/>
      <c r="D5" s="29"/>
      <c r="E5" s="29"/>
      <c r="F5" s="29"/>
      <c r="G5" s="29"/>
    </row>
    <row r="6" spans="1:7" x14ac:dyDescent="0.45">
      <c r="A6" s="31" t="s">
        <v>284</v>
      </c>
      <c r="B6" s="29"/>
      <c r="C6" s="29"/>
      <c r="D6" s="29"/>
      <c r="E6" s="29"/>
      <c r="F6" s="29"/>
      <c r="G6" s="29"/>
    </row>
    <row r="7" spans="1:7" x14ac:dyDescent="0.45">
      <c r="A7" s="28"/>
      <c r="B7" s="29"/>
      <c r="C7" s="29"/>
      <c r="D7" s="29"/>
      <c r="E7" s="29"/>
      <c r="F7" s="29"/>
      <c r="G7" s="29"/>
    </row>
    <row r="8" spans="1:7" x14ac:dyDescent="0.45">
      <c r="A8" s="28" t="s">
        <v>285</v>
      </c>
      <c r="B8" s="29"/>
      <c r="C8" s="29"/>
      <c r="D8" s="29"/>
      <c r="E8" s="29"/>
      <c r="F8" s="29"/>
      <c r="G8" s="29"/>
    </row>
    <row r="9" spans="1:7" x14ac:dyDescent="0.45">
      <c r="A9" s="31" t="s">
        <v>286</v>
      </c>
      <c r="B9" s="29"/>
      <c r="C9" s="29"/>
      <c r="D9" s="29"/>
      <c r="E9" s="29"/>
      <c r="F9" s="29"/>
      <c r="G9" s="29"/>
    </row>
    <row r="10" spans="1:7" x14ac:dyDescent="0.45">
      <c r="A10" s="31" t="s">
        <v>287</v>
      </c>
      <c r="B10" s="29"/>
      <c r="C10" s="29"/>
      <c r="D10" s="29"/>
      <c r="E10" s="29"/>
      <c r="F10" s="29"/>
      <c r="G10" s="29"/>
    </row>
    <row r="11" spans="1:7" x14ac:dyDescent="0.45">
      <c r="A11" s="28"/>
      <c r="B11" s="29"/>
      <c r="C11" s="29"/>
      <c r="D11" s="29"/>
      <c r="E11" s="29"/>
      <c r="F11" s="29"/>
      <c r="G11" s="29"/>
    </row>
    <row r="12" spans="1:7" x14ac:dyDescent="0.45">
      <c r="A12" s="28" t="s">
        <v>288</v>
      </c>
      <c r="B12" s="29"/>
      <c r="C12" s="29"/>
      <c r="D12" s="29"/>
      <c r="E12" s="29"/>
      <c r="F12" s="29"/>
      <c r="G12" s="29"/>
    </row>
    <row r="13" spans="1:7" x14ac:dyDescent="0.45">
      <c r="A13" s="31" t="s">
        <v>289</v>
      </c>
      <c r="B13" s="29"/>
      <c r="C13" s="29"/>
      <c r="D13" s="29"/>
      <c r="E13" s="29"/>
      <c r="F13" s="29"/>
      <c r="G13" s="29"/>
    </row>
    <row r="15" spans="1:7" x14ac:dyDescent="0.45">
      <c r="A15" s="3" t="s">
        <v>290</v>
      </c>
    </row>
    <row r="16" spans="1:7" x14ac:dyDescent="0.45">
      <c r="A16" s="4"/>
      <c r="B16" s="4" t="s">
        <v>291</v>
      </c>
      <c r="C16" s="4" t="s">
        <v>292</v>
      </c>
      <c r="D16" s="4" t="s">
        <v>293</v>
      </c>
      <c r="E16" s="27" t="s">
        <v>511</v>
      </c>
      <c r="F16" s="4" t="s">
        <v>294</v>
      </c>
      <c r="G16" s="4" t="s">
        <v>151</v>
      </c>
    </row>
    <row r="17" spans="1:7" x14ac:dyDescent="0.45">
      <c r="A17" s="5"/>
      <c r="B17" s="10" t="s">
        <v>295</v>
      </c>
      <c r="C17" s="14">
        <v>1252321402.7111111</v>
      </c>
      <c r="D17" s="10" t="s">
        <v>296</v>
      </c>
      <c r="E17" s="12" t="str">
        <f>IF(D17="SEASONED","포함","제외")</f>
        <v>포함</v>
      </c>
      <c r="F17" s="12">
        <f>IF(E17="포함",RANK(C17,$C$17:$C$25,1),"")</f>
        <v>4</v>
      </c>
      <c r="G17" s="7"/>
    </row>
    <row r="18" spans="1:7" x14ac:dyDescent="0.45">
      <c r="A18" s="5"/>
      <c r="B18" s="10" t="s">
        <v>297</v>
      </c>
      <c r="C18" s="14">
        <v>1314153704.2333331</v>
      </c>
      <c r="D18" s="10" t="s">
        <v>296</v>
      </c>
      <c r="E18" s="12" t="str">
        <f t="shared" ref="E18:E25" si="0">IF(D18="SEASONED","포함","제외")</f>
        <v>포함</v>
      </c>
      <c r="F18" s="12">
        <f t="shared" ref="F18:F25" si="1">IF(E18="포함",RANK(C18,$C$17:$C$25,1),"")</f>
        <v>5</v>
      </c>
      <c r="G18" s="7"/>
    </row>
    <row r="19" spans="1:7" x14ac:dyDescent="0.45">
      <c r="A19" s="5"/>
      <c r="B19" s="10" t="s">
        <v>298</v>
      </c>
      <c r="C19" s="14">
        <v>1342697168.855556</v>
      </c>
      <c r="D19" s="10" t="s">
        <v>296</v>
      </c>
      <c r="E19" s="12" t="str">
        <f t="shared" si="0"/>
        <v>포함</v>
      </c>
      <c r="F19" s="12">
        <f t="shared" si="1"/>
        <v>7</v>
      </c>
      <c r="G19" s="7"/>
    </row>
    <row r="20" spans="1:7" x14ac:dyDescent="0.45">
      <c r="A20" s="5"/>
      <c r="B20" s="10" t="s">
        <v>299</v>
      </c>
      <c r="C20" s="14">
        <v>317626170.95555562</v>
      </c>
      <c r="D20" s="10" t="s">
        <v>296</v>
      </c>
      <c r="E20" s="12" t="str">
        <f t="shared" si="0"/>
        <v>포함</v>
      </c>
      <c r="F20" s="12">
        <f t="shared" si="1"/>
        <v>2</v>
      </c>
      <c r="G20" s="7"/>
    </row>
    <row r="21" spans="1:7" x14ac:dyDescent="0.45">
      <c r="A21" s="5"/>
      <c r="B21" s="10" t="s">
        <v>300</v>
      </c>
      <c r="C21" s="14">
        <v>1016364377.2111109</v>
      </c>
      <c r="D21" s="10" t="s">
        <v>296</v>
      </c>
      <c r="E21" s="12" t="str">
        <f t="shared" si="0"/>
        <v>포함</v>
      </c>
      <c r="F21" s="12">
        <f t="shared" si="1"/>
        <v>3</v>
      </c>
      <c r="G21" s="7"/>
    </row>
    <row r="22" spans="1:7" x14ac:dyDescent="0.45">
      <c r="A22" s="5"/>
      <c r="B22" s="10" t="s">
        <v>301</v>
      </c>
      <c r="C22" s="14">
        <v>2508603588.3164439</v>
      </c>
      <c r="D22" s="10" t="s">
        <v>296</v>
      </c>
      <c r="E22" s="12" t="str">
        <f t="shared" si="0"/>
        <v>포함</v>
      </c>
      <c r="F22" s="12">
        <f t="shared" si="1"/>
        <v>8</v>
      </c>
      <c r="G22" s="7"/>
    </row>
    <row r="23" spans="1:7" x14ac:dyDescent="0.45">
      <c r="A23" s="5"/>
      <c r="B23" s="10" t="s">
        <v>302</v>
      </c>
      <c r="C23" s="18">
        <f>'03-04 거래대금·ADTV90'!B108</f>
        <v>315154781.22222221</v>
      </c>
      <c r="D23" s="10" t="s">
        <v>296</v>
      </c>
      <c r="E23" s="12" t="str">
        <f t="shared" si="0"/>
        <v>포함</v>
      </c>
      <c r="F23" s="12">
        <f t="shared" si="1"/>
        <v>1</v>
      </c>
      <c r="G23" s="9" t="s">
        <v>303</v>
      </c>
    </row>
    <row r="24" spans="1:7" x14ac:dyDescent="0.45">
      <c r="A24" s="5"/>
      <c r="B24" s="10" t="s">
        <v>304</v>
      </c>
      <c r="C24" s="14">
        <v>1322404734.188889</v>
      </c>
      <c r="D24" s="10" t="s">
        <v>296</v>
      </c>
      <c r="E24" s="12" t="str">
        <f t="shared" si="0"/>
        <v>포함</v>
      </c>
      <c r="F24" s="12">
        <f t="shared" si="1"/>
        <v>6</v>
      </c>
      <c r="G24" s="7"/>
    </row>
    <row r="25" spans="1:7" x14ac:dyDescent="0.45">
      <c r="A25" s="5"/>
      <c r="B25" s="10" t="s">
        <v>305</v>
      </c>
      <c r="C25" s="10" t="s">
        <v>306</v>
      </c>
      <c r="D25" s="10" t="s">
        <v>307</v>
      </c>
      <c r="E25" s="12" t="str">
        <f t="shared" si="0"/>
        <v>제외</v>
      </c>
      <c r="F25" s="12" t="str">
        <f t="shared" si="1"/>
        <v/>
      </c>
      <c r="G25" s="7" t="s">
        <v>308</v>
      </c>
    </row>
    <row r="27" spans="1:7" x14ac:dyDescent="0.45">
      <c r="A27" s="3" t="s">
        <v>309</v>
      </c>
    </row>
    <row r="28" spans="1:7" x14ac:dyDescent="0.45">
      <c r="A28" s="5" t="s">
        <v>310</v>
      </c>
      <c r="B28" s="32">
        <f>COUNT(C17:C24)</f>
        <v>8</v>
      </c>
      <c r="C28" s="29"/>
      <c r="D28" s="30" t="s">
        <v>311</v>
      </c>
      <c r="E28" s="29"/>
      <c r="F28" s="29"/>
      <c r="G28" s="29"/>
    </row>
    <row r="29" spans="1:7" x14ac:dyDescent="0.45">
      <c r="A29" s="5" t="s">
        <v>312</v>
      </c>
      <c r="B29" s="32">
        <f>(B28-1)*0.1</f>
        <v>0.70000000000000007</v>
      </c>
      <c r="C29" s="29"/>
      <c r="D29" s="30" t="s">
        <v>313</v>
      </c>
      <c r="E29" s="29"/>
      <c r="F29" s="29"/>
      <c r="G29" s="29"/>
    </row>
    <row r="30" spans="1:7" x14ac:dyDescent="0.45">
      <c r="A30" s="5" t="s">
        <v>314</v>
      </c>
      <c r="B30" s="32">
        <f>SMALL($C$17:$C$24,INT(B29)+1)</f>
        <v>315154781.22222221</v>
      </c>
      <c r="C30" s="29"/>
      <c r="D30" s="30" t="s">
        <v>315</v>
      </c>
      <c r="E30" s="29"/>
      <c r="F30" s="29"/>
      <c r="G30" s="29"/>
    </row>
    <row r="31" spans="1:7" x14ac:dyDescent="0.45">
      <c r="A31" s="5" t="s">
        <v>316</v>
      </c>
      <c r="B31" s="32">
        <f>SMALL($C$17:$C$24,INT(B29)+2)</f>
        <v>317626170.95555562</v>
      </c>
      <c r="C31" s="29"/>
      <c r="D31" s="30" t="s">
        <v>317</v>
      </c>
      <c r="E31" s="29"/>
      <c r="F31" s="29"/>
      <c r="G31" s="29"/>
    </row>
    <row r="32" spans="1:7" x14ac:dyDescent="0.45">
      <c r="A32" s="5" t="s">
        <v>318</v>
      </c>
      <c r="B32" s="33">
        <f t="shared" ref="B32" si="2">B30+(B29-INT(B29))*(B31-B30)</f>
        <v>316884754.0355556</v>
      </c>
      <c r="C32" s="29"/>
      <c r="D32" s="30" t="s">
        <v>319</v>
      </c>
      <c r="E32" s="29"/>
      <c r="F32" s="29"/>
      <c r="G32" s="29"/>
    </row>
    <row r="33" spans="1:7" x14ac:dyDescent="0.45">
      <c r="A33" s="5" t="s">
        <v>320</v>
      </c>
      <c r="B33" s="33" t="str">
        <f>IF(C23&gt;=B32,"편입","제외")</f>
        <v>제외</v>
      </c>
      <c r="C33" s="29"/>
      <c r="D33" s="30" t="s">
        <v>321</v>
      </c>
      <c r="E33" s="29"/>
      <c r="F33" s="29"/>
      <c r="G33" s="29"/>
    </row>
    <row r="34" spans="1:7" x14ac:dyDescent="0.45">
      <c r="A34" s="5" t="s">
        <v>322</v>
      </c>
      <c r="B34" s="32">
        <f>(C23/B32-1)*100</f>
        <v>-0.54593122303993047</v>
      </c>
      <c r="C34" s="29"/>
      <c r="D34" s="30" t="s">
        <v>323</v>
      </c>
      <c r="E34" s="29"/>
      <c r="F34" s="29"/>
      <c r="G34" s="29"/>
    </row>
    <row r="35" spans="1:7" x14ac:dyDescent="0.45">
      <c r="A35" s="5" t="s">
        <v>324</v>
      </c>
      <c r="B35" s="32">
        <f>COUNTIF($C$17:$C$24,"&lt;"&amp;B32)</f>
        <v>1</v>
      </c>
      <c r="C35" s="29"/>
      <c r="D35" s="30" t="s">
        <v>325</v>
      </c>
      <c r="E35" s="29"/>
      <c r="F35" s="29"/>
      <c r="G35" s="29"/>
    </row>
    <row r="37" spans="1:7" x14ac:dyDescent="0.45">
      <c r="A37" s="28" t="s">
        <v>326</v>
      </c>
      <c r="B37" s="29"/>
      <c r="C37" s="29"/>
      <c r="D37" s="29"/>
      <c r="E37" s="29"/>
      <c r="F37" s="29"/>
      <c r="G37" s="29"/>
    </row>
    <row r="38" spans="1:7" x14ac:dyDescent="0.45">
      <c r="A38" s="31" t="s">
        <v>327</v>
      </c>
      <c r="B38" s="29"/>
      <c r="C38" s="29"/>
      <c r="D38" s="29"/>
      <c r="E38" s="29"/>
      <c r="F38" s="29"/>
      <c r="G38" s="29"/>
    </row>
    <row r="39" spans="1:7" x14ac:dyDescent="0.45">
      <c r="A39" s="31" t="s">
        <v>328</v>
      </c>
      <c r="B39" s="29"/>
      <c r="C39" s="29"/>
      <c r="D39" s="29"/>
      <c r="E39" s="29"/>
      <c r="F39" s="29"/>
      <c r="G39" s="29"/>
    </row>
    <row r="40" spans="1:7" x14ac:dyDescent="0.45">
      <c r="A40" s="31" t="s">
        <v>329</v>
      </c>
      <c r="B40" s="29"/>
      <c r="C40" s="29"/>
      <c r="D40" s="29"/>
      <c r="E40" s="29"/>
      <c r="F40" s="29"/>
      <c r="G40" s="29"/>
    </row>
    <row r="41" spans="1:7" x14ac:dyDescent="0.45">
      <c r="A41" s="34" t="s">
        <v>507</v>
      </c>
      <c r="B41" s="29"/>
      <c r="C41" s="29"/>
      <c r="D41" s="29"/>
      <c r="E41" s="29"/>
      <c r="F41" s="29"/>
      <c r="G41" s="29"/>
    </row>
    <row r="43" spans="1:7" x14ac:dyDescent="0.45">
      <c r="A43" s="5" t="s">
        <v>330</v>
      </c>
      <c r="B43" s="33">
        <f>CEILING(1/0.1,1)+1</f>
        <v>11</v>
      </c>
      <c r="C43" s="29"/>
    </row>
  </sheetData>
  <mergeCells count="32">
    <mergeCell ref="B43:C43"/>
    <mergeCell ref="A13:G13"/>
    <mergeCell ref="A40:G40"/>
    <mergeCell ref="A9:G9"/>
    <mergeCell ref="D35:G35"/>
    <mergeCell ref="A39:G39"/>
    <mergeCell ref="D34:G34"/>
    <mergeCell ref="A11:G11"/>
    <mergeCell ref="D31:G31"/>
    <mergeCell ref="B29:C29"/>
    <mergeCell ref="B34:C34"/>
    <mergeCell ref="B28:C28"/>
    <mergeCell ref="A41:G41"/>
    <mergeCell ref="D32:G32"/>
    <mergeCell ref="A37:G37"/>
    <mergeCell ref="B30:C30"/>
    <mergeCell ref="A8:G8"/>
    <mergeCell ref="A4:G4"/>
    <mergeCell ref="D30:G30"/>
    <mergeCell ref="A38:G38"/>
    <mergeCell ref="D33:G33"/>
    <mergeCell ref="B31:C31"/>
    <mergeCell ref="D29:G29"/>
    <mergeCell ref="A10:G10"/>
    <mergeCell ref="A6:G6"/>
    <mergeCell ref="A7:G7"/>
    <mergeCell ref="B33:C33"/>
    <mergeCell ref="A12:G12"/>
    <mergeCell ref="B32:C32"/>
    <mergeCell ref="B35:C35"/>
    <mergeCell ref="D28:G28"/>
    <mergeCell ref="A5:G5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showGridLines="0" workbookViewId="0">
      <pane ySplit="19" topLeftCell="A45" activePane="bottomLeft" state="frozen"/>
      <selection pane="bottomLeft" activeCell="D54" sqref="D54"/>
    </sheetView>
  </sheetViews>
  <sheetFormatPr defaultRowHeight="17" x14ac:dyDescent="0.45"/>
  <cols>
    <col min="1" max="1" width="6" customWidth="1"/>
    <col min="2" max="2" width="14" customWidth="1"/>
    <col min="3" max="3" width="18" customWidth="1"/>
    <col min="4" max="5" width="16" customWidth="1"/>
    <col min="6" max="7" width="18" customWidth="1"/>
    <col min="8" max="8" width="24" customWidth="1"/>
  </cols>
  <sheetData>
    <row r="1" spans="1:8" ht="24" customHeight="1" x14ac:dyDescent="0.7">
      <c r="A1" s="1" t="s">
        <v>331</v>
      </c>
    </row>
    <row r="2" spans="1:8" x14ac:dyDescent="0.45">
      <c r="A2" s="2" t="s">
        <v>332</v>
      </c>
    </row>
    <row r="4" spans="1:8" x14ac:dyDescent="0.45">
      <c r="A4" s="28" t="s">
        <v>143</v>
      </c>
      <c r="B4" s="29"/>
      <c r="C4" s="29"/>
      <c r="D4" s="29"/>
      <c r="E4" s="29"/>
      <c r="F4" s="29"/>
      <c r="G4" s="29"/>
      <c r="H4" s="29"/>
    </row>
    <row r="5" spans="1:8" x14ac:dyDescent="0.45">
      <c r="A5" s="31" t="s">
        <v>333</v>
      </c>
      <c r="B5" s="29"/>
      <c r="C5" s="29"/>
      <c r="D5" s="29"/>
      <c r="E5" s="29"/>
      <c r="F5" s="29"/>
      <c r="G5" s="29"/>
      <c r="H5" s="29"/>
    </row>
    <row r="6" spans="1:8" x14ac:dyDescent="0.45">
      <c r="A6" s="31" t="s">
        <v>334</v>
      </c>
      <c r="B6" s="29"/>
      <c r="C6" s="29"/>
      <c r="D6" s="29"/>
      <c r="E6" s="29"/>
      <c r="F6" s="29"/>
      <c r="G6" s="29"/>
      <c r="H6" s="29"/>
    </row>
    <row r="7" spans="1:8" x14ac:dyDescent="0.45">
      <c r="A7" s="31" t="s">
        <v>335</v>
      </c>
      <c r="B7" s="29"/>
      <c r="C7" s="29"/>
      <c r="D7" s="29"/>
      <c r="E7" s="29"/>
      <c r="F7" s="29"/>
      <c r="G7" s="29"/>
      <c r="H7" s="29"/>
    </row>
    <row r="8" spans="1:8" x14ac:dyDescent="0.45">
      <c r="A8" s="28"/>
      <c r="B8" s="29"/>
      <c r="C8" s="29"/>
      <c r="D8" s="29"/>
      <c r="E8" s="29"/>
      <c r="F8" s="29"/>
      <c r="G8" s="29"/>
      <c r="H8" s="29"/>
    </row>
    <row r="9" spans="1:8" x14ac:dyDescent="0.45">
      <c r="A9" s="28" t="s">
        <v>336</v>
      </c>
      <c r="B9" s="29"/>
      <c r="C9" s="29"/>
      <c r="D9" s="29"/>
      <c r="E9" s="29"/>
      <c r="F9" s="29"/>
      <c r="G9" s="29"/>
      <c r="H9" s="29"/>
    </row>
    <row r="11" spans="1:8" x14ac:dyDescent="0.45">
      <c r="A11" s="36" t="s">
        <v>337</v>
      </c>
      <c r="B11" s="29"/>
      <c r="C11" s="29"/>
      <c r="D11" s="29"/>
      <c r="E11" s="29"/>
      <c r="F11" s="29"/>
      <c r="G11" s="29"/>
      <c r="H11" s="29"/>
    </row>
    <row r="12" spans="1:8" x14ac:dyDescent="0.45">
      <c r="A12" s="35" t="s">
        <v>338</v>
      </c>
      <c r="B12" s="29"/>
      <c r="C12" s="29"/>
      <c r="D12" s="29"/>
      <c r="E12" s="29"/>
      <c r="F12" s="29"/>
      <c r="G12" s="29"/>
      <c r="H12" s="29"/>
    </row>
    <row r="13" spans="1:8" x14ac:dyDescent="0.45">
      <c r="A13" s="35" t="s">
        <v>339</v>
      </c>
      <c r="B13" s="29"/>
      <c r="C13" s="29"/>
      <c r="D13" s="29"/>
      <c r="E13" s="29"/>
      <c r="F13" s="29"/>
      <c r="G13" s="29"/>
      <c r="H13" s="29"/>
    </row>
    <row r="14" spans="1:8" x14ac:dyDescent="0.45">
      <c r="A14" s="35" t="s">
        <v>340</v>
      </c>
      <c r="B14" s="29"/>
      <c r="C14" s="29"/>
      <c r="D14" s="29"/>
      <c r="E14" s="29"/>
      <c r="F14" s="29"/>
      <c r="G14" s="29"/>
      <c r="H14" s="29"/>
    </row>
    <row r="15" spans="1:8" x14ac:dyDescent="0.45">
      <c r="A15" s="35" t="s">
        <v>341</v>
      </c>
      <c r="B15" s="29"/>
      <c r="C15" s="29"/>
      <c r="D15" s="29"/>
      <c r="E15" s="29"/>
      <c r="F15" s="29"/>
      <c r="G15" s="29"/>
      <c r="H15" s="29"/>
    </row>
    <row r="16" spans="1:8" x14ac:dyDescent="0.45">
      <c r="A16" s="35" t="s">
        <v>342</v>
      </c>
      <c r="B16" s="29"/>
      <c r="C16" s="29"/>
      <c r="D16" s="29"/>
      <c r="E16" s="29"/>
      <c r="F16" s="29"/>
      <c r="G16" s="29"/>
      <c r="H16" s="29"/>
    </row>
    <row r="18" spans="1:8" x14ac:dyDescent="0.45">
      <c r="A18" s="3" t="s">
        <v>343</v>
      </c>
    </row>
    <row r="19" spans="1:8" x14ac:dyDescent="0.45">
      <c r="A19" s="4"/>
      <c r="B19" s="4" t="s">
        <v>344</v>
      </c>
      <c r="C19" s="4" t="s">
        <v>345</v>
      </c>
      <c r="D19" s="4" t="s">
        <v>346</v>
      </c>
      <c r="E19" s="4" t="s">
        <v>347</v>
      </c>
      <c r="F19" s="4" t="s">
        <v>348</v>
      </c>
      <c r="G19" s="4" t="s">
        <v>349</v>
      </c>
      <c r="H19" s="4" t="s">
        <v>151</v>
      </c>
    </row>
    <row r="20" spans="1:8" x14ac:dyDescent="0.45">
      <c r="A20" s="5"/>
      <c r="B20" s="5" t="s">
        <v>350</v>
      </c>
      <c r="C20" s="5" t="s">
        <v>351</v>
      </c>
      <c r="D20" s="10" t="s">
        <v>352</v>
      </c>
      <c r="E20" s="19">
        <v>0.16666666666666666</v>
      </c>
      <c r="F20" s="12">
        <f>COUNTIF($E$30:$E$44,B20)</f>
        <v>2</v>
      </c>
      <c r="G20" s="19">
        <f>IF(F20=0,"",E20/F20)</f>
        <v>8.3333333333333329E-2</v>
      </c>
      <c r="H20" s="7"/>
    </row>
    <row r="21" spans="1:8" x14ac:dyDescent="0.45">
      <c r="A21" s="5"/>
      <c r="B21" s="5" t="s">
        <v>353</v>
      </c>
      <c r="C21" s="5" t="s">
        <v>354</v>
      </c>
      <c r="D21" s="10" t="s">
        <v>352</v>
      </c>
      <c r="E21" s="19">
        <v>0.16666666666666666</v>
      </c>
      <c r="F21" s="12">
        <f t="shared" ref="F21:F25" si="0">COUNTIF($E$30:$E$44,B21)</f>
        <v>3</v>
      </c>
      <c r="G21" s="19">
        <f t="shared" ref="G21:G25" si="1">IF(F21=0,"",E21/F21)</f>
        <v>5.5555555555555552E-2</v>
      </c>
      <c r="H21" s="7"/>
    </row>
    <row r="22" spans="1:8" x14ac:dyDescent="0.45">
      <c r="A22" s="5"/>
      <c r="B22" s="5" t="s">
        <v>355</v>
      </c>
      <c r="C22" s="5" t="s">
        <v>356</v>
      </c>
      <c r="D22" s="10" t="s">
        <v>352</v>
      </c>
      <c r="E22" s="19">
        <v>0.16666666666666666</v>
      </c>
      <c r="F22" s="12">
        <f t="shared" si="0"/>
        <v>3</v>
      </c>
      <c r="G22" s="19">
        <f t="shared" si="1"/>
        <v>5.5555555555555552E-2</v>
      </c>
      <c r="H22" s="7"/>
    </row>
    <row r="23" spans="1:8" x14ac:dyDescent="0.45">
      <c r="A23" s="5"/>
      <c r="B23" s="5" t="s">
        <v>357</v>
      </c>
      <c r="C23" s="5" t="s">
        <v>351</v>
      </c>
      <c r="D23" s="10" t="s">
        <v>358</v>
      </c>
      <c r="E23" s="19">
        <v>0.16666666666666666</v>
      </c>
      <c r="F23" s="12">
        <f t="shared" si="0"/>
        <v>3</v>
      </c>
      <c r="G23" s="19">
        <f t="shared" si="1"/>
        <v>5.5555555555555552E-2</v>
      </c>
      <c r="H23" s="7"/>
    </row>
    <row r="24" spans="1:8" x14ac:dyDescent="0.45">
      <c r="A24" s="5"/>
      <c r="B24" s="5" t="s">
        <v>359</v>
      </c>
      <c r="C24" s="5" t="s">
        <v>354</v>
      </c>
      <c r="D24" s="10" t="s">
        <v>358</v>
      </c>
      <c r="E24" s="19">
        <v>0.16666666666666666</v>
      </c>
      <c r="F24" s="12">
        <f t="shared" si="0"/>
        <v>3</v>
      </c>
      <c r="G24" s="19">
        <f t="shared" si="1"/>
        <v>5.5555555555555552E-2</v>
      </c>
      <c r="H24" s="7"/>
    </row>
    <row r="25" spans="1:8" x14ac:dyDescent="0.45">
      <c r="A25" s="5"/>
      <c r="B25" s="5" t="s">
        <v>360</v>
      </c>
      <c r="C25" s="5" t="s">
        <v>356</v>
      </c>
      <c r="D25" s="10" t="s">
        <v>358</v>
      </c>
      <c r="E25" s="19">
        <v>0.16666666666666666</v>
      </c>
      <c r="F25" s="12">
        <f t="shared" si="0"/>
        <v>1</v>
      </c>
      <c r="G25" s="19">
        <f t="shared" si="1"/>
        <v>0.16666666666666666</v>
      </c>
      <c r="H25" s="7"/>
    </row>
    <row r="26" spans="1:8" x14ac:dyDescent="0.45">
      <c r="D26" s="20" t="s">
        <v>361</v>
      </c>
      <c r="E26" s="21">
        <f>SUM(E20:E25)</f>
        <v>0.99999999999999989</v>
      </c>
      <c r="H26" s="9" t="s">
        <v>362</v>
      </c>
    </row>
    <row r="28" spans="1:8" x14ac:dyDescent="0.45">
      <c r="A28" s="3" t="s">
        <v>363</v>
      </c>
    </row>
    <row r="29" spans="1:8" x14ac:dyDescent="0.45">
      <c r="A29" s="4"/>
      <c r="B29" s="4" t="s">
        <v>291</v>
      </c>
      <c r="C29" s="4" t="s">
        <v>346</v>
      </c>
      <c r="D29" s="4" t="s">
        <v>345</v>
      </c>
      <c r="E29" s="4" t="s">
        <v>344</v>
      </c>
      <c r="F29" s="4" t="s">
        <v>123</v>
      </c>
      <c r="G29" s="4"/>
      <c r="H29" s="4" t="s">
        <v>151</v>
      </c>
    </row>
    <row r="30" spans="1:8" x14ac:dyDescent="0.45">
      <c r="A30" s="5"/>
      <c r="B30" s="10" t="s">
        <v>364</v>
      </c>
      <c r="C30" s="10" t="s">
        <v>352</v>
      </c>
      <c r="D30" s="5" t="s">
        <v>351</v>
      </c>
      <c r="E30" s="5" t="s">
        <v>350</v>
      </c>
      <c r="F30" s="19">
        <f>VLOOKUP(E30,$B$20:$G$25,6,FALSE)</f>
        <v>8.3333333333333329E-2</v>
      </c>
      <c r="G30" s="5"/>
      <c r="H30" s="7"/>
    </row>
    <row r="31" spans="1:8" x14ac:dyDescent="0.45">
      <c r="A31" s="5"/>
      <c r="B31" s="10" t="s">
        <v>365</v>
      </c>
      <c r="C31" s="10" t="s">
        <v>352</v>
      </c>
      <c r="D31" s="5" t="s">
        <v>351</v>
      </c>
      <c r="E31" s="5" t="s">
        <v>350</v>
      </c>
      <c r="F31" s="19">
        <f t="shared" ref="F31:F44" si="2">VLOOKUP(E31,$B$20:$G$25,6,FALSE)</f>
        <v>8.3333333333333329E-2</v>
      </c>
      <c r="G31" s="5"/>
      <c r="H31" s="7"/>
    </row>
    <row r="32" spans="1:8" x14ac:dyDescent="0.45">
      <c r="A32" s="5"/>
      <c r="B32" s="10" t="s">
        <v>366</v>
      </c>
      <c r="C32" s="10" t="s">
        <v>352</v>
      </c>
      <c r="D32" s="5" t="s">
        <v>354</v>
      </c>
      <c r="E32" s="5" t="s">
        <v>353</v>
      </c>
      <c r="F32" s="19">
        <f t="shared" si="2"/>
        <v>5.5555555555555552E-2</v>
      </c>
      <c r="G32" s="5"/>
      <c r="H32" s="7"/>
    </row>
    <row r="33" spans="1:8" x14ac:dyDescent="0.45">
      <c r="A33" s="5"/>
      <c r="B33" s="10" t="s">
        <v>367</v>
      </c>
      <c r="C33" s="10" t="s">
        <v>352</v>
      </c>
      <c r="D33" s="5" t="s">
        <v>354</v>
      </c>
      <c r="E33" s="5" t="s">
        <v>353</v>
      </c>
      <c r="F33" s="19">
        <f t="shared" si="2"/>
        <v>5.5555555555555552E-2</v>
      </c>
      <c r="G33" s="5"/>
      <c r="H33" s="7"/>
    </row>
    <row r="34" spans="1:8" x14ac:dyDescent="0.45">
      <c r="A34" s="5"/>
      <c r="B34" s="10" t="s">
        <v>368</v>
      </c>
      <c r="C34" s="10" t="s">
        <v>352</v>
      </c>
      <c r="D34" s="5" t="s">
        <v>354</v>
      </c>
      <c r="E34" s="5" t="s">
        <v>353</v>
      </c>
      <c r="F34" s="19">
        <f t="shared" si="2"/>
        <v>5.5555555555555552E-2</v>
      </c>
      <c r="G34" s="5"/>
      <c r="H34" s="7"/>
    </row>
    <row r="35" spans="1:8" x14ac:dyDescent="0.45">
      <c r="A35" s="5"/>
      <c r="B35" s="10" t="s">
        <v>369</v>
      </c>
      <c r="C35" s="10" t="s">
        <v>352</v>
      </c>
      <c r="D35" s="5" t="s">
        <v>356</v>
      </c>
      <c r="E35" s="5" t="s">
        <v>355</v>
      </c>
      <c r="F35" s="19">
        <f t="shared" si="2"/>
        <v>5.5555555555555552E-2</v>
      </c>
      <c r="G35" s="5"/>
      <c r="H35" s="7"/>
    </row>
    <row r="36" spans="1:8" x14ac:dyDescent="0.45">
      <c r="A36" s="5"/>
      <c r="B36" s="10" t="s">
        <v>370</v>
      </c>
      <c r="C36" s="10" t="s">
        <v>352</v>
      </c>
      <c r="D36" s="5" t="s">
        <v>356</v>
      </c>
      <c r="E36" s="5" t="s">
        <v>355</v>
      </c>
      <c r="F36" s="19">
        <f t="shared" si="2"/>
        <v>5.5555555555555552E-2</v>
      </c>
      <c r="G36" s="5"/>
      <c r="H36" s="7"/>
    </row>
    <row r="37" spans="1:8" x14ac:dyDescent="0.45">
      <c r="A37" s="5"/>
      <c r="B37" s="10" t="s">
        <v>371</v>
      </c>
      <c r="C37" s="10" t="s">
        <v>352</v>
      </c>
      <c r="D37" s="5" t="s">
        <v>356</v>
      </c>
      <c r="E37" s="5" t="s">
        <v>355</v>
      </c>
      <c r="F37" s="19">
        <f t="shared" si="2"/>
        <v>5.5555555555555552E-2</v>
      </c>
      <c r="G37" s="5"/>
      <c r="H37" s="7"/>
    </row>
    <row r="38" spans="1:8" x14ac:dyDescent="0.45">
      <c r="A38" s="5"/>
      <c r="B38" s="10" t="s">
        <v>295</v>
      </c>
      <c r="C38" s="10" t="s">
        <v>358</v>
      </c>
      <c r="D38" s="5" t="s">
        <v>351</v>
      </c>
      <c r="E38" s="5" t="s">
        <v>357</v>
      </c>
      <c r="F38" s="19">
        <f t="shared" si="2"/>
        <v>5.5555555555555552E-2</v>
      </c>
      <c r="G38" s="5"/>
      <c r="H38" s="7"/>
    </row>
    <row r="39" spans="1:8" x14ac:dyDescent="0.45">
      <c r="A39" s="5"/>
      <c r="B39" s="10" t="s">
        <v>297</v>
      </c>
      <c r="C39" s="10" t="s">
        <v>358</v>
      </c>
      <c r="D39" s="5" t="s">
        <v>351</v>
      </c>
      <c r="E39" s="5" t="s">
        <v>357</v>
      </c>
      <c r="F39" s="19">
        <f t="shared" si="2"/>
        <v>5.5555555555555552E-2</v>
      </c>
      <c r="G39" s="5"/>
      <c r="H39" s="7"/>
    </row>
    <row r="40" spans="1:8" x14ac:dyDescent="0.45">
      <c r="A40" s="5"/>
      <c r="B40" s="10" t="s">
        <v>304</v>
      </c>
      <c r="C40" s="10" t="s">
        <v>358</v>
      </c>
      <c r="D40" s="5" t="s">
        <v>351</v>
      </c>
      <c r="E40" s="5" t="s">
        <v>357</v>
      </c>
      <c r="F40" s="19">
        <f t="shared" si="2"/>
        <v>5.5555555555555552E-2</v>
      </c>
      <c r="G40" s="5"/>
      <c r="H40" s="7"/>
    </row>
    <row r="41" spans="1:8" x14ac:dyDescent="0.45">
      <c r="A41" s="5"/>
      <c r="B41" s="10" t="s">
        <v>298</v>
      </c>
      <c r="C41" s="10" t="s">
        <v>358</v>
      </c>
      <c r="D41" s="5" t="s">
        <v>354</v>
      </c>
      <c r="E41" s="5" t="s">
        <v>359</v>
      </c>
      <c r="F41" s="19">
        <f t="shared" si="2"/>
        <v>5.5555555555555552E-2</v>
      </c>
      <c r="G41" s="5"/>
      <c r="H41" s="7"/>
    </row>
    <row r="42" spans="1:8" x14ac:dyDescent="0.45">
      <c r="A42" s="5"/>
      <c r="B42" s="10" t="s">
        <v>300</v>
      </c>
      <c r="C42" s="10" t="s">
        <v>358</v>
      </c>
      <c r="D42" s="5" t="s">
        <v>354</v>
      </c>
      <c r="E42" s="5" t="s">
        <v>359</v>
      </c>
      <c r="F42" s="19">
        <f t="shared" si="2"/>
        <v>5.5555555555555552E-2</v>
      </c>
      <c r="G42" s="5"/>
      <c r="H42" s="7"/>
    </row>
    <row r="43" spans="1:8" x14ac:dyDescent="0.45">
      <c r="A43" s="5"/>
      <c r="B43" s="10" t="s">
        <v>301</v>
      </c>
      <c r="C43" s="10" t="s">
        <v>358</v>
      </c>
      <c r="D43" s="5" t="s">
        <v>354</v>
      </c>
      <c r="E43" s="5" t="s">
        <v>359</v>
      </c>
      <c r="F43" s="19">
        <f t="shared" si="2"/>
        <v>5.5555555555555552E-2</v>
      </c>
      <c r="G43" s="5"/>
      <c r="H43" s="7"/>
    </row>
    <row r="44" spans="1:8" x14ac:dyDescent="0.45">
      <c r="A44" s="5"/>
      <c r="B44" s="10" t="s">
        <v>302</v>
      </c>
      <c r="C44" s="10" t="s">
        <v>358</v>
      </c>
      <c r="D44" s="5" t="s">
        <v>356</v>
      </c>
      <c r="E44" s="5" t="s">
        <v>360</v>
      </c>
      <c r="F44" s="19">
        <f t="shared" si="2"/>
        <v>0.16666666666666666</v>
      </c>
      <c r="G44" s="5"/>
      <c r="H44" s="7"/>
    </row>
    <row r="45" spans="1:8" x14ac:dyDescent="0.45">
      <c r="E45" s="20" t="s">
        <v>361</v>
      </c>
      <c r="F45" s="21">
        <f>SUM(F30:F44)</f>
        <v>1.0000000000000002</v>
      </c>
    </row>
    <row r="47" spans="1:8" x14ac:dyDescent="0.45">
      <c r="A47" s="28" t="s">
        <v>372</v>
      </c>
      <c r="B47" s="29"/>
      <c r="C47" s="29"/>
      <c r="D47" s="29"/>
      <c r="E47" s="29"/>
      <c r="F47" s="29"/>
      <c r="G47" s="29"/>
      <c r="H47" s="29"/>
    </row>
    <row r="48" spans="1:8" x14ac:dyDescent="0.45">
      <c r="A48" s="31" t="s">
        <v>373</v>
      </c>
      <c r="B48" s="29"/>
      <c r="C48" s="29"/>
      <c r="D48" s="29"/>
      <c r="E48" s="29"/>
      <c r="F48" s="29"/>
      <c r="G48" s="29"/>
      <c r="H48" s="29"/>
    </row>
    <row r="49" spans="1:8" x14ac:dyDescent="0.45">
      <c r="A49" s="31" t="s">
        <v>374</v>
      </c>
      <c r="B49" s="29"/>
      <c r="C49" s="29"/>
      <c r="D49" s="29"/>
      <c r="E49" s="29"/>
      <c r="F49" s="29"/>
      <c r="G49" s="29"/>
      <c r="H49" s="29"/>
    </row>
    <row r="50" spans="1:8" x14ac:dyDescent="0.45">
      <c r="A50" s="31" t="s">
        <v>375</v>
      </c>
      <c r="B50" s="29"/>
      <c r="C50" s="29"/>
      <c r="D50" s="29"/>
      <c r="E50" s="29"/>
      <c r="F50" s="29"/>
      <c r="G50" s="29"/>
      <c r="H50" s="29"/>
    </row>
    <row r="52" spans="1:8" x14ac:dyDescent="0.45">
      <c r="A52" s="5" t="s">
        <v>376</v>
      </c>
      <c r="B52" s="33" t="str">
        <f>INDEX($B$30:$B$44,MATCH(MAX($F$30:$F$44),$F$30:$F$44,0))</f>
        <v>KTOS</v>
      </c>
      <c r="C52" s="29"/>
    </row>
    <row r="53" spans="1:8" x14ac:dyDescent="0.45">
      <c r="A53" s="5" t="s">
        <v>377</v>
      </c>
      <c r="B53" s="33">
        <f>MAX($F$30:$F$44)*100</f>
        <v>16.666666666666664</v>
      </c>
      <c r="C53" s="29"/>
    </row>
    <row r="54" spans="1:8" x14ac:dyDescent="0.45">
      <c r="A54" s="5" t="s">
        <v>378</v>
      </c>
      <c r="B54" s="33">
        <f>VLOOKUP(INDEX($E$30:$E$44,MATCH(MAX($F$30:$F$44),$F$30:$F$44,0)),$B$20:$F$25,5,FALSE)</f>
        <v>1</v>
      </c>
      <c r="C54" s="29"/>
    </row>
  </sheetData>
  <mergeCells count="19">
    <mergeCell ref="A5:H5"/>
    <mergeCell ref="A8:H8"/>
    <mergeCell ref="A4:H4"/>
    <mergeCell ref="A13:H13"/>
    <mergeCell ref="A6:H6"/>
    <mergeCell ref="A7:H7"/>
    <mergeCell ref="A16:H16"/>
    <mergeCell ref="B53:C53"/>
    <mergeCell ref="A12:H12"/>
    <mergeCell ref="A50:H50"/>
    <mergeCell ref="A14:H14"/>
    <mergeCell ref="A47:H47"/>
    <mergeCell ref="A9:H9"/>
    <mergeCell ref="A48:H48"/>
    <mergeCell ref="B54:C54"/>
    <mergeCell ref="A15:H15"/>
    <mergeCell ref="A11:H11"/>
    <mergeCell ref="A49:H49"/>
    <mergeCell ref="B52:C52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showGridLines="0" workbookViewId="0">
      <pane ySplit="17" topLeftCell="A28" activePane="bottomLeft" state="frozen"/>
      <selection pane="bottomLeft" activeCell="H31" sqref="H31"/>
    </sheetView>
  </sheetViews>
  <sheetFormatPr defaultRowHeight="17" x14ac:dyDescent="0.45"/>
  <cols>
    <col min="1" max="1" width="6" customWidth="1"/>
    <col min="2" max="2" width="12" customWidth="1"/>
    <col min="3" max="3" width="10" customWidth="1"/>
    <col min="4" max="8" width="14" customWidth="1"/>
    <col min="9" max="9" width="16" customWidth="1"/>
    <col min="10" max="10" width="20" customWidth="1"/>
  </cols>
  <sheetData>
    <row r="1" spans="1:10" ht="24" customHeight="1" x14ac:dyDescent="0.7">
      <c r="A1" s="1" t="s">
        <v>379</v>
      </c>
    </row>
    <row r="2" spans="1:10" x14ac:dyDescent="0.45">
      <c r="A2" s="2" t="s">
        <v>380</v>
      </c>
    </row>
    <row r="4" spans="1:10" x14ac:dyDescent="0.45">
      <c r="A4" s="28" t="s">
        <v>143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45">
      <c r="A5" s="31" t="s">
        <v>381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x14ac:dyDescent="0.45">
      <c r="A6" s="31" t="s">
        <v>382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x14ac:dyDescent="0.45">
      <c r="A7" s="31" t="s">
        <v>383</v>
      </c>
      <c r="B7" s="29"/>
      <c r="C7" s="29"/>
      <c r="D7" s="29"/>
      <c r="E7" s="29"/>
      <c r="F7" s="29"/>
      <c r="G7" s="29"/>
      <c r="H7" s="29"/>
      <c r="I7" s="29"/>
      <c r="J7" s="29"/>
    </row>
    <row r="8" spans="1:10" x14ac:dyDescent="0.45">
      <c r="A8" s="28"/>
      <c r="B8" s="29"/>
      <c r="C8" s="29"/>
      <c r="D8" s="29"/>
      <c r="E8" s="29"/>
      <c r="F8" s="29"/>
      <c r="G8" s="29"/>
      <c r="H8" s="29"/>
      <c r="I8" s="29"/>
      <c r="J8" s="29"/>
    </row>
    <row r="9" spans="1:10" x14ac:dyDescent="0.45">
      <c r="A9" s="31" t="s">
        <v>384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 x14ac:dyDescent="0.45">
      <c r="A10" s="28"/>
      <c r="B10" s="29"/>
      <c r="C10" s="29"/>
      <c r="D10" s="29"/>
      <c r="E10" s="29"/>
      <c r="F10" s="29"/>
      <c r="G10" s="29"/>
      <c r="H10" s="29"/>
      <c r="I10" s="29"/>
      <c r="J10" s="29"/>
    </row>
    <row r="11" spans="1:10" x14ac:dyDescent="0.45">
      <c r="A11" s="28" t="s">
        <v>385</v>
      </c>
      <c r="B11" s="29"/>
      <c r="C11" s="29"/>
      <c r="D11" s="29"/>
      <c r="E11" s="29"/>
      <c r="F11" s="29"/>
      <c r="G11" s="29"/>
      <c r="H11" s="29"/>
      <c r="I11" s="29"/>
      <c r="J11" s="29"/>
    </row>
    <row r="12" spans="1:10" x14ac:dyDescent="0.45">
      <c r="A12" s="31" t="s">
        <v>386</v>
      </c>
      <c r="B12" s="29"/>
      <c r="C12" s="29"/>
      <c r="D12" s="29"/>
      <c r="E12" s="29"/>
      <c r="F12" s="29"/>
      <c r="G12" s="29"/>
      <c r="H12" s="29"/>
      <c r="I12" s="29"/>
      <c r="J12" s="29"/>
    </row>
    <row r="14" spans="1:10" x14ac:dyDescent="0.45">
      <c r="A14" s="3" t="s">
        <v>387</v>
      </c>
    </row>
    <row r="15" spans="1:10" x14ac:dyDescent="0.45">
      <c r="A15" s="5" t="s">
        <v>388</v>
      </c>
      <c r="C15" s="22">
        <v>1530.5</v>
      </c>
      <c r="E15" s="5" t="s">
        <v>389</v>
      </c>
      <c r="G15" s="22">
        <v>1507.2</v>
      </c>
    </row>
    <row r="17" spans="1:10" x14ac:dyDescent="0.45">
      <c r="A17" s="4"/>
      <c r="B17" s="4" t="s">
        <v>291</v>
      </c>
      <c r="C17" s="4" t="s">
        <v>346</v>
      </c>
      <c r="D17" s="4" t="s">
        <v>123</v>
      </c>
      <c r="E17" s="4" t="s">
        <v>390</v>
      </c>
      <c r="F17" s="4" t="s">
        <v>391</v>
      </c>
      <c r="G17" s="4" t="s">
        <v>392</v>
      </c>
      <c r="H17" s="4" t="s">
        <v>393</v>
      </c>
      <c r="I17" s="4" t="s">
        <v>394</v>
      </c>
      <c r="J17" s="4" t="s">
        <v>395</v>
      </c>
    </row>
    <row r="18" spans="1:10" x14ac:dyDescent="0.45">
      <c r="A18" s="5"/>
      <c r="B18" s="10" t="s">
        <v>366</v>
      </c>
      <c r="C18" s="10" t="s">
        <v>352</v>
      </c>
      <c r="D18" s="19">
        <f>VLOOKUP($B18,'06 목표비중'!$B$30:$F$44,5,FALSE)</f>
        <v>5.5555555555555552E-2</v>
      </c>
      <c r="E18" s="14">
        <v>794000</v>
      </c>
      <c r="F18" s="14">
        <v>788000</v>
      </c>
      <c r="G18" s="17">
        <f>IF($C18="KR",E18,E18*$C$15)</f>
        <v>794000</v>
      </c>
      <c r="H18" s="17">
        <f>IF($C18="KR",F18,F18*$G$15)</f>
        <v>788000</v>
      </c>
      <c r="I18" s="19">
        <f>H18/G18</f>
        <v>0.99244332493702769</v>
      </c>
      <c r="J18" s="19">
        <f>$D18*I18</f>
        <v>5.513574027427931E-2</v>
      </c>
    </row>
    <row r="19" spans="1:10" x14ac:dyDescent="0.45">
      <c r="A19" s="5"/>
      <c r="B19" s="10" t="s">
        <v>369</v>
      </c>
      <c r="C19" s="10" t="s">
        <v>352</v>
      </c>
      <c r="D19" s="19">
        <f>VLOOKUP($B19,'06 목표비중'!$B$30:$F$44,5,FALSE)</f>
        <v>5.5555555555555552E-2</v>
      </c>
      <c r="E19" s="14">
        <v>1333000</v>
      </c>
      <c r="F19" s="14">
        <v>1537000</v>
      </c>
      <c r="G19" s="17">
        <f t="shared" ref="G19:G32" si="0">IF($C19="KR",E19,E19*$C$15)</f>
        <v>1333000</v>
      </c>
      <c r="H19" s="17">
        <f t="shared" ref="H19:H32" si="1">IF($C19="KR",F19,F19*$G$15)</f>
        <v>1537000</v>
      </c>
      <c r="I19" s="19">
        <f t="shared" ref="I19:I32" si="2">H19/G19</f>
        <v>1.1530382595648911</v>
      </c>
      <c r="J19" s="19">
        <f t="shared" ref="J19:J32" si="3">$D19*I19</f>
        <v>6.4057681086938392E-2</v>
      </c>
    </row>
    <row r="20" spans="1:10" x14ac:dyDescent="0.45">
      <c r="A20" s="5"/>
      <c r="B20" s="10" t="s">
        <v>370</v>
      </c>
      <c r="C20" s="10" t="s">
        <v>352</v>
      </c>
      <c r="D20" s="19">
        <f>VLOOKUP($B20,'06 목표비중'!$B$30:$F$44,5,FALSE)</f>
        <v>5.5555555555555552E-2</v>
      </c>
      <c r="E20" s="14">
        <v>188800</v>
      </c>
      <c r="F20" s="14">
        <v>211000</v>
      </c>
      <c r="G20" s="17">
        <f t="shared" si="0"/>
        <v>188800</v>
      </c>
      <c r="H20" s="17">
        <f t="shared" si="1"/>
        <v>211000</v>
      </c>
      <c r="I20" s="19">
        <f t="shared" si="2"/>
        <v>1.1175847457627119</v>
      </c>
      <c r="J20" s="19">
        <f t="shared" si="3"/>
        <v>6.2088041431261773E-2</v>
      </c>
    </row>
    <row r="21" spans="1:10" x14ac:dyDescent="0.45">
      <c r="A21" s="5"/>
      <c r="B21" s="10" t="s">
        <v>364</v>
      </c>
      <c r="C21" s="10" t="s">
        <v>352</v>
      </c>
      <c r="D21" s="19">
        <f>VLOOKUP($B21,'06 목표비중'!$B$30:$F$44,5,FALSE)</f>
        <v>8.3333333333333329E-2</v>
      </c>
      <c r="E21" s="14">
        <v>59500</v>
      </c>
      <c r="F21" s="14">
        <v>57100</v>
      </c>
      <c r="G21" s="17">
        <f t="shared" si="0"/>
        <v>59500</v>
      </c>
      <c r="H21" s="17">
        <f t="shared" si="1"/>
        <v>57100</v>
      </c>
      <c r="I21" s="19">
        <f t="shared" si="2"/>
        <v>0.95966386554621852</v>
      </c>
      <c r="J21" s="19">
        <f t="shared" si="3"/>
        <v>7.9971988795518201E-2</v>
      </c>
    </row>
    <row r="22" spans="1:10" x14ac:dyDescent="0.45">
      <c r="A22" s="5"/>
      <c r="B22" s="10" t="s">
        <v>371</v>
      </c>
      <c r="C22" s="10" t="s">
        <v>352</v>
      </c>
      <c r="D22" s="19">
        <f>VLOOKUP($B22,'06 목표비중'!$B$30:$F$44,5,FALSE)</f>
        <v>5.5555555555555552E-2</v>
      </c>
      <c r="E22" s="14">
        <v>794000</v>
      </c>
      <c r="F22" s="14">
        <v>827000</v>
      </c>
      <c r="G22" s="17">
        <f t="shared" si="0"/>
        <v>794000</v>
      </c>
      <c r="H22" s="17">
        <f t="shared" si="1"/>
        <v>827000</v>
      </c>
      <c r="I22" s="19">
        <f t="shared" si="2"/>
        <v>1.0415617128463477</v>
      </c>
      <c r="J22" s="19">
        <f t="shared" si="3"/>
        <v>5.7864539602574872E-2</v>
      </c>
    </row>
    <row r="23" spans="1:10" x14ac:dyDescent="0.45">
      <c r="A23" s="5"/>
      <c r="B23" s="10" t="s">
        <v>367</v>
      </c>
      <c r="C23" s="10" t="s">
        <v>352</v>
      </c>
      <c r="D23" s="19">
        <f>VLOOKUP($B23,'06 목표비중'!$B$30:$F$44,5,FALSE)</f>
        <v>5.5555555555555552E-2</v>
      </c>
      <c r="E23" s="14">
        <v>902000</v>
      </c>
      <c r="F23" s="14">
        <v>891000</v>
      </c>
      <c r="G23" s="17">
        <f t="shared" si="0"/>
        <v>902000</v>
      </c>
      <c r="H23" s="17">
        <f t="shared" si="1"/>
        <v>891000</v>
      </c>
      <c r="I23" s="19">
        <f t="shared" si="2"/>
        <v>0.98780487804878048</v>
      </c>
      <c r="J23" s="19">
        <f t="shared" si="3"/>
        <v>5.4878048780487798E-2</v>
      </c>
    </row>
    <row r="24" spans="1:10" x14ac:dyDescent="0.45">
      <c r="A24" s="5"/>
      <c r="B24" s="10" t="s">
        <v>368</v>
      </c>
      <c r="C24" s="10" t="s">
        <v>352</v>
      </c>
      <c r="D24" s="19">
        <f>VLOOKUP($B24,'06 목표비중'!$B$30:$F$44,5,FALSE)</f>
        <v>5.5555555555555552E-2</v>
      </c>
      <c r="E24" s="14">
        <v>2653000</v>
      </c>
      <c r="F24" s="14">
        <v>2610000</v>
      </c>
      <c r="G24" s="17">
        <f t="shared" si="0"/>
        <v>2653000</v>
      </c>
      <c r="H24" s="17">
        <f t="shared" si="1"/>
        <v>2610000</v>
      </c>
      <c r="I24" s="19">
        <f t="shared" si="2"/>
        <v>0.9837919336600075</v>
      </c>
      <c r="J24" s="19">
        <f t="shared" si="3"/>
        <v>5.4655107425555967E-2</v>
      </c>
    </row>
    <row r="25" spans="1:10" x14ac:dyDescent="0.45">
      <c r="A25" s="5"/>
      <c r="B25" s="10" t="s">
        <v>365</v>
      </c>
      <c r="C25" s="10" t="s">
        <v>352</v>
      </c>
      <c r="D25" s="19">
        <f>VLOOKUP($B25,'06 목표비중'!$B$30:$F$44,5,FALSE)</f>
        <v>8.3333333333333329E-2</v>
      </c>
      <c r="E25" s="14">
        <v>391000</v>
      </c>
      <c r="F25" s="14">
        <v>370000</v>
      </c>
      <c r="G25" s="17">
        <f t="shared" si="0"/>
        <v>391000</v>
      </c>
      <c r="H25" s="17">
        <f t="shared" si="1"/>
        <v>370000</v>
      </c>
      <c r="I25" s="19">
        <f t="shared" si="2"/>
        <v>0.94629156010230175</v>
      </c>
      <c r="J25" s="19">
        <f t="shared" si="3"/>
        <v>7.8857630008525137E-2</v>
      </c>
    </row>
    <row r="26" spans="1:10" x14ac:dyDescent="0.45">
      <c r="A26" s="5"/>
      <c r="B26" s="10" t="s">
        <v>295</v>
      </c>
      <c r="C26" s="10" t="s">
        <v>358</v>
      </c>
      <c r="D26" s="19">
        <f>VLOOKUP($B26,'06 목표비중'!$B$30:$F$44,5,FALSE)</f>
        <v>5.5555555555555552E-2</v>
      </c>
      <c r="E26" s="14">
        <v>106.33</v>
      </c>
      <c r="F26" s="14">
        <v>118.99</v>
      </c>
      <c r="G26" s="17">
        <f t="shared" si="0"/>
        <v>162738.065</v>
      </c>
      <c r="H26" s="17">
        <f t="shared" si="1"/>
        <v>179341.728</v>
      </c>
      <c r="I26" s="19">
        <f t="shared" si="2"/>
        <v>1.1020269166897123</v>
      </c>
      <c r="J26" s="19">
        <f t="shared" si="3"/>
        <v>6.1223717593872906E-2</v>
      </c>
    </row>
    <row r="27" spans="1:10" x14ac:dyDescent="0.45">
      <c r="A27" s="5"/>
      <c r="B27" s="10" t="s">
        <v>297</v>
      </c>
      <c r="C27" s="10" t="s">
        <v>358</v>
      </c>
      <c r="D27" s="19">
        <f>VLOOKUP($B27,'06 목표비중'!$B$30:$F$44,5,FALSE)</f>
        <v>5.5555555555555552E-2</v>
      </c>
      <c r="E27" s="14">
        <v>124.85</v>
      </c>
      <c r="F27" s="14">
        <v>133.63999999999999</v>
      </c>
      <c r="G27" s="17">
        <f t="shared" si="0"/>
        <v>191082.92499999999</v>
      </c>
      <c r="H27" s="17">
        <f t="shared" si="1"/>
        <v>201422.20799999998</v>
      </c>
      <c r="I27" s="19">
        <f t="shared" si="2"/>
        <v>1.0541088796918929</v>
      </c>
      <c r="J27" s="19">
        <f t="shared" si="3"/>
        <v>5.8561604427327385E-2</v>
      </c>
    </row>
    <row r="28" spans="1:10" x14ac:dyDescent="0.45">
      <c r="A28" s="5"/>
      <c r="B28" s="10" t="s">
        <v>298</v>
      </c>
      <c r="C28" s="10" t="s">
        <v>358</v>
      </c>
      <c r="D28" s="19">
        <f>VLOOKUP($B28,'06 목표비중'!$B$30:$F$44,5,FALSE)</f>
        <v>5.5555555555555552E-2</v>
      </c>
      <c r="E28" s="14">
        <v>127.7</v>
      </c>
      <c r="F28" s="14">
        <v>128.38</v>
      </c>
      <c r="G28" s="17">
        <f t="shared" si="0"/>
        <v>195444.85</v>
      </c>
      <c r="H28" s="17">
        <f t="shared" si="1"/>
        <v>193494.33600000001</v>
      </c>
      <c r="I28" s="19">
        <f t="shared" si="2"/>
        <v>0.99002013099859121</v>
      </c>
      <c r="J28" s="19">
        <f t="shared" si="3"/>
        <v>5.5001118388810617E-2</v>
      </c>
    </row>
    <row r="29" spans="1:10" x14ac:dyDescent="0.45">
      <c r="A29" s="5"/>
      <c r="B29" s="10" t="s">
        <v>300</v>
      </c>
      <c r="C29" s="10" t="s">
        <v>358</v>
      </c>
      <c r="D29" s="19">
        <f>VLOOKUP($B29,'06 목표비중'!$B$30:$F$44,5,FALSE)</f>
        <v>5.5555555555555552E-2</v>
      </c>
      <c r="E29" s="14">
        <v>365.56</v>
      </c>
      <c r="F29" s="14">
        <v>368.85</v>
      </c>
      <c r="G29" s="17">
        <f t="shared" si="0"/>
        <v>559489.57999999996</v>
      </c>
      <c r="H29" s="17">
        <f t="shared" si="1"/>
        <v>555930.72000000009</v>
      </c>
      <c r="I29" s="19">
        <f t="shared" si="2"/>
        <v>0.99363909511951976</v>
      </c>
      <c r="J29" s="19">
        <f t="shared" si="3"/>
        <v>5.5202171951084428E-2</v>
      </c>
    </row>
    <row r="30" spans="1:10" x14ac:dyDescent="0.45">
      <c r="A30" s="5"/>
      <c r="B30" s="10" t="s">
        <v>301</v>
      </c>
      <c r="C30" s="10" t="s">
        <v>358</v>
      </c>
      <c r="D30" s="19">
        <f>VLOOKUP($B30,'06 목표비중'!$B$30:$F$44,5,FALSE)</f>
        <v>5.5555555555555552E-2</v>
      </c>
      <c r="E30" s="14">
        <v>894.78</v>
      </c>
      <c r="F30" s="14">
        <v>910.75</v>
      </c>
      <c r="G30" s="17">
        <f t="shared" si="0"/>
        <v>1369460.79</v>
      </c>
      <c r="H30" s="17">
        <f t="shared" si="1"/>
        <v>1372682.4000000001</v>
      </c>
      <c r="I30" s="19">
        <f t="shared" si="2"/>
        <v>1.0023524660388414</v>
      </c>
      <c r="J30" s="19">
        <f t="shared" si="3"/>
        <v>5.5686248113268964E-2</v>
      </c>
    </row>
    <row r="31" spans="1:10" x14ac:dyDescent="0.45">
      <c r="A31" s="5"/>
      <c r="B31" s="10" t="s">
        <v>302</v>
      </c>
      <c r="C31" s="10" t="s">
        <v>358</v>
      </c>
      <c r="D31" s="19">
        <f>VLOOKUP($B31,'06 목표비중'!$B$30:$F$44,5,FALSE)</f>
        <v>0.16666666666666666</v>
      </c>
      <c r="E31" s="14">
        <v>67.7</v>
      </c>
      <c r="F31" s="14">
        <v>71.959999999999994</v>
      </c>
      <c r="G31" s="17">
        <f t="shared" si="0"/>
        <v>103614.85</v>
      </c>
      <c r="H31" s="17">
        <f t="shared" si="1"/>
        <v>108458.11199999999</v>
      </c>
      <c r="I31" s="19">
        <f t="shared" si="2"/>
        <v>1.0467429330834335</v>
      </c>
      <c r="J31" s="19">
        <f t="shared" si="3"/>
        <v>0.17445715551390556</v>
      </c>
    </row>
    <row r="32" spans="1:10" x14ac:dyDescent="0.45">
      <c r="A32" s="5"/>
      <c r="B32" s="10" t="s">
        <v>304</v>
      </c>
      <c r="C32" s="10" t="s">
        <v>358</v>
      </c>
      <c r="D32" s="19">
        <f>VLOOKUP($B32,'06 목표비중'!$B$30:$F$44,5,FALSE)</f>
        <v>5.5555555555555552E-2</v>
      </c>
      <c r="E32" s="14">
        <v>312.2</v>
      </c>
      <c r="F32" s="14">
        <v>320.48</v>
      </c>
      <c r="G32" s="17">
        <f t="shared" si="0"/>
        <v>477822.1</v>
      </c>
      <c r="H32" s="17">
        <f t="shared" si="1"/>
        <v>483027.45600000006</v>
      </c>
      <c r="I32" s="19">
        <f t="shared" si="2"/>
        <v>1.0108939205616485</v>
      </c>
      <c r="J32" s="19">
        <f t="shared" si="3"/>
        <v>5.6160773364536024E-2</v>
      </c>
    </row>
    <row r="33" spans="1:10" x14ac:dyDescent="0.45">
      <c r="I33" s="20" t="s">
        <v>361</v>
      </c>
      <c r="J33" s="19">
        <f>SUM(J18:J32)</f>
        <v>1.0238015667579472</v>
      </c>
    </row>
    <row r="35" spans="1:10" x14ac:dyDescent="0.45">
      <c r="A35" s="3" t="s">
        <v>165</v>
      </c>
    </row>
    <row r="36" spans="1:10" x14ac:dyDescent="0.45">
      <c r="A36" s="42" t="s">
        <v>396</v>
      </c>
      <c r="B36" s="39"/>
      <c r="C36" s="40"/>
      <c r="D36" s="23">
        <f>1000*J33</f>
        <v>1023.8015667579472</v>
      </c>
    </row>
    <row r="38" spans="1:10" x14ac:dyDescent="0.45">
      <c r="A38" s="36" t="s">
        <v>167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0" x14ac:dyDescent="0.45">
      <c r="A39" s="35" t="s">
        <v>397</v>
      </c>
      <c r="B39" s="29"/>
      <c r="C39" s="29"/>
      <c r="D39" s="29"/>
      <c r="E39" s="29"/>
      <c r="F39" s="29"/>
      <c r="G39" s="29"/>
      <c r="H39" s="29"/>
      <c r="I39" s="29"/>
      <c r="J39" s="29"/>
    </row>
    <row r="40" spans="1:10" x14ac:dyDescent="0.45">
      <c r="A40" s="35" t="s">
        <v>398</v>
      </c>
      <c r="B40" s="29"/>
      <c r="C40" s="29"/>
      <c r="D40" s="29"/>
      <c r="E40" s="29"/>
      <c r="F40" s="29"/>
      <c r="G40" s="29"/>
      <c r="H40" s="29"/>
      <c r="I40" s="29"/>
      <c r="J40" s="29"/>
    </row>
    <row r="41" spans="1:10" x14ac:dyDescent="0.45">
      <c r="A41" s="35" t="s">
        <v>399</v>
      </c>
      <c r="B41" s="29"/>
      <c r="C41" s="29"/>
      <c r="D41" s="29"/>
      <c r="E41" s="29"/>
      <c r="F41" s="29"/>
      <c r="G41" s="29"/>
      <c r="H41" s="29"/>
      <c r="I41" s="29"/>
      <c r="J41" s="29"/>
    </row>
  </sheetData>
  <mergeCells count="14">
    <mergeCell ref="A4:J4"/>
    <mergeCell ref="A7:J7"/>
    <mergeCell ref="A38:J38"/>
    <mergeCell ref="A10:J10"/>
    <mergeCell ref="A41:J41"/>
    <mergeCell ref="A11:J11"/>
    <mergeCell ref="A5:J5"/>
    <mergeCell ref="A36:C36"/>
    <mergeCell ref="A8:J8"/>
    <mergeCell ref="A6:J6"/>
    <mergeCell ref="A40:J40"/>
    <mergeCell ref="A9:J9"/>
    <mergeCell ref="A39:J39"/>
    <mergeCell ref="A12:J12"/>
  </mergeCells>
  <phoneticPr fontId="8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showGridLines="0" workbookViewId="0">
      <pane ySplit="15" topLeftCell="A25" activePane="bottomLeft" state="frozen"/>
      <selection pane="bottomLeft" activeCell="H40" sqref="H40"/>
    </sheetView>
  </sheetViews>
  <sheetFormatPr defaultRowHeight="17" x14ac:dyDescent="0.45"/>
  <cols>
    <col min="1" max="1" width="6" customWidth="1"/>
    <col min="2" max="3" width="14" customWidth="1"/>
    <col min="4" max="5" width="16" customWidth="1"/>
    <col min="6" max="6" width="18" customWidth="1"/>
    <col min="7" max="7" width="34" customWidth="1"/>
  </cols>
  <sheetData>
    <row r="1" spans="1:7" ht="24" customHeight="1" x14ac:dyDescent="0.7">
      <c r="A1" s="1" t="s">
        <v>400</v>
      </c>
    </row>
    <row r="2" spans="1:7" x14ac:dyDescent="0.45">
      <c r="A2" s="2" t="s">
        <v>401</v>
      </c>
    </row>
    <row r="4" spans="1:7" x14ac:dyDescent="0.45">
      <c r="A4" s="28" t="s">
        <v>402</v>
      </c>
      <c r="B4" s="29"/>
      <c r="C4" s="29"/>
      <c r="D4" s="29"/>
      <c r="E4" s="29"/>
      <c r="F4" s="29"/>
      <c r="G4" s="29"/>
    </row>
    <row r="5" spans="1:7" x14ac:dyDescent="0.45">
      <c r="A5" s="31" t="s">
        <v>403</v>
      </c>
      <c r="B5" s="29"/>
      <c r="C5" s="29"/>
      <c r="D5" s="29"/>
      <c r="E5" s="29"/>
      <c r="F5" s="29"/>
      <c r="G5" s="29"/>
    </row>
    <row r="6" spans="1:7" x14ac:dyDescent="0.45">
      <c r="A6" s="31" t="s">
        <v>404</v>
      </c>
      <c r="B6" s="29"/>
      <c r="C6" s="29"/>
      <c r="D6" s="29"/>
      <c r="E6" s="29"/>
      <c r="F6" s="29"/>
      <c r="G6" s="29"/>
    </row>
    <row r="7" spans="1:7" x14ac:dyDescent="0.45">
      <c r="A7" s="31" t="s">
        <v>405</v>
      </c>
      <c r="B7" s="29"/>
      <c r="C7" s="29"/>
      <c r="D7" s="29"/>
      <c r="E7" s="29"/>
      <c r="F7" s="29"/>
      <c r="G7" s="29"/>
    </row>
    <row r="8" spans="1:7" x14ac:dyDescent="0.45">
      <c r="A8" s="28"/>
      <c r="B8" s="29"/>
      <c r="C8" s="29"/>
      <c r="D8" s="29"/>
      <c r="E8" s="29"/>
      <c r="F8" s="29"/>
      <c r="G8" s="29"/>
    </row>
    <row r="9" spans="1:7" x14ac:dyDescent="0.45">
      <c r="A9" s="28" t="s">
        <v>406</v>
      </c>
      <c r="B9" s="29"/>
      <c r="C9" s="29"/>
      <c r="D9" s="29"/>
      <c r="E9" s="29"/>
      <c r="F9" s="29"/>
      <c r="G9" s="29"/>
    </row>
    <row r="10" spans="1:7" x14ac:dyDescent="0.45">
      <c r="A10" s="31" t="s">
        <v>407</v>
      </c>
      <c r="B10" s="29"/>
      <c r="C10" s="29"/>
      <c r="D10" s="29"/>
      <c r="E10" s="29"/>
      <c r="F10" s="29"/>
      <c r="G10" s="29"/>
    </row>
    <row r="11" spans="1:7" x14ac:dyDescent="0.45">
      <c r="A11" s="31" t="s">
        <v>408</v>
      </c>
      <c r="B11" s="29"/>
      <c r="C11" s="29"/>
      <c r="D11" s="29"/>
      <c r="E11" s="29"/>
      <c r="F11" s="29"/>
      <c r="G11" s="29"/>
    </row>
    <row r="12" spans="1:7" x14ac:dyDescent="0.45">
      <c r="A12" s="28"/>
      <c r="B12" s="29"/>
      <c r="C12" s="29"/>
      <c r="D12" s="29"/>
      <c r="E12" s="29"/>
      <c r="F12" s="29"/>
      <c r="G12" s="29"/>
    </row>
    <row r="13" spans="1:7" x14ac:dyDescent="0.45">
      <c r="A13" s="28" t="s">
        <v>409</v>
      </c>
      <c r="B13" s="29"/>
      <c r="C13" s="29"/>
      <c r="D13" s="29"/>
      <c r="E13" s="29"/>
      <c r="F13" s="29"/>
      <c r="G13" s="29"/>
    </row>
    <row r="15" spans="1:7" x14ac:dyDescent="0.45">
      <c r="A15" s="4"/>
      <c r="B15" s="4" t="s">
        <v>146</v>
      </c>
      <c r="C15" s="4" t="s">
        <v>410</v>
      </c>
      <c r="D15" s="4" t="s">
        <v>181</v>
      </c>
      <c r="E15" s="4" t="s">
        <v>411</v>
      </c>
      <c r="F15" s="4" t="s">
        <v>412</v>
      </c>
      <c r="G15" s="4" t="s">
        <v>151</v>
      </c>
    </row>
    <row r="16" spans="1:7" x14ac:dyDescent="0.45">
      <c r="A16" s="5"/>
      <c r="B16" s="5" t="s">
        <v>218</v>
      </c>
      <c r="C16" s="15">
        <v>799000</v>
      </c>
      <c r="D16" s="10" t="s">
        <v>183</v>
      </c>
      <c r="E16" s="24">
        <f>IF($B16&lt;$B$21,C16/5,C16)</f>
        <v>159800</v>
      </c>
      <c r="F16" s="25" t="str">
        <f>""</f>
        <v/>
      </c>
      <c r="G16" s="7"/>
    </row>
    <row r="17" spans="1:7" x14ac:dyDescent="0.45">
      <c r="A17" s="5"/>
      <c r="B17" s="5" t="s">
        <v>219</v>
      </c>
      <c r="C17" s="15">
        <v>788000</v>
      </c>
      <c r="D17" s="10" t="s">
        <v>183</v>
      </c>
      <c r="E17" s="24">
        <f>IF($B17&lt;$B$21,C17/5,C17)</f>
        <v>157600</v>
      </c>
      <c r="F17" s="25">
        <f>E17/E16-1</f>
        <v>-1.3767209011264048E-2</v>
      </c>
      <c r="G17" s="7"/>
    </row>
    <row r="18" spans="1:7" x14ac:dyDescent="0.45">
      <c r="A18" s="5"/>
      <c r="B18" s="5" t="s">
        <v>220</v>
      </c>
      <c r="C18" s="15">
        <v>788000</v>
      </c>
      <c r="D18" s="10" t="s">
        <v>413</v>
      </c>
      <c r="E18" s="24">
        <f t="shared" ref="E18:E24" si="0">IF($B18&lt;$B$21,C18/5,C18)</f>
        <v>157600</v>
      </c>
      <c r="F18" s="25">
        <f t="shared" ref="F18:F24" si="1">E18/E17-1</f>
        <v>0</v>
      </c>
      <c r="G18" s="7"/>
    </row>
    <row r="19" spans="1:7" x14ac:dyDescent="0.45">
      <c r="A19" s="5"/>
      <c r="B19" s="5" t="s">
        <v>221</v>
      </c>
      <c r="C19" s="15">
        <v>788000</v>
      </c>
      <c r="D19" s="10" t="s">
        <v>413</v>
      </c>
      <c r="E19" s="24">
        <f t="shared" si="0"/>
        <v>157600</v>
      </c>
      <c r="F19" s="25">
        <f t="shared" si="1"/>
        <v>0</v>
      </c>
      <c r="G19" s="7"/>
    </row>
    <row r="20" spans="1:7" x14ac:dyDescent="0.45">
      <c r="A20" s="5"/>
      <c r="B20" s="5" t="s">
        <v>222</v>
      </c>
      <c r="C20" s="15">
        <v>788000</v>
      </c>
      <c r="D20" s="10" t="s">
        <v>413</v>
      </c>
      <c r="E20" s="24">
        <f t="shared" si="0"/>
        <v>157600</v>
      </c>
      <c r="F20" s="25">
        <f t="shared" si="1"/>
        <v>0</v>
      </c>
      <c r="G20" s="7"/>
    </row>
    <row r="21" spans="1:7" x14ac:dyDescent="0.45">
      <c r="A21" s="5"/>
      <c r="B21" s="5" t="s">
        <v>223</v>
      </c>
      <c r="C21" s="15">
        <v>179200</v>
      </c>
      <c r="D21" s="10" t="s">
        <v>183</v>
      </c>
      <c r="E21" s="24">
        <f t="shared" si="0"/>
        <v>179200</v>
      </c>
      <c r="F21" s="25">
        <f t="shared" si="1"/>
        <v>0.13705583756345185</v>
      </c>
      <c r="G21" s="7"/>
    </row>
    <row r="22" spans="1:7" x14ac:dyDescent="0.45">
      <c r="A22" s="5"/>
      <c r="B22" s="5" t="s">
        <v>224</v>
      </c>
      <c r="C22" s="15">
        <v>185600</v>
      </c>
      <c r="D22" s="10" t="s">
        <v>183</v>
      </c>
      <c r="E22" s="24">
        <f t="shared" si="0"/>
        <v>185600</v>
      </c>
      <c r="F22" s="25">
        <f t="shared" si="1"/>
        <v>3.5714285714285809E-2</v>
      </c>
      <c r="G22" s="7"/>
    </row>
    <row r="23" spans="1:7" x14ac:dyDescent="0.45">
      <c r="A23" s="5"/>
      <c r="B23" s="5" t="s">
        <v>225</v>
      </c>
      <c r="C23" s="15">
        <v>186800</v>
      </c>
      <c r="D23" s="10" t="s">
        <v>183</v>
      </c>
      <c r="E23" s="24">
        <f t="shared" si="0"/>
        <v>186800</v>
      </c>
      <c r="F23" s="25">
        <f t="shared" si="1"/>
        <v>6.4655172413792261E-3</v>
      </c>
      <c r="G23" s="7"/>
    </row>
    <row r="24" spans="1:7" x14ac:dyDescent="0.45">
      <c r="A24" s="5"/>
      <c r="B24" s="5" t="s">
        <v>226</v>
      </c>
      <c r="C24" s="15">
        <v>188600</v>
      </c>
      <c r="D24" s="10" t="s">
        <v>183</v>
      </c>
      <c r="E24" s="24">
        <f t="shared" si="0"/>
        <v>188600</v>
      </c>
      <c r="F24" s="25">
        <f t="shared" si="1"/>
        <v>9.6359743040685952E-3</v>
      </c>
      <c r="G24" s="7"/>
    </row>
    <row r="26" spans="1:7" x14ac:dyDescent="0.45">
      <c r="A26" s="3" t="s">
        <v>414</v>
      </c>
    </row>
    <row r="27" spans="1:7" x14ac:dyDescent="0.45">
      <c r="A27" s="42" t="s">
        <v>415</v>
      </c>
      <c r="B27" s="40"/>
      <c r="C27" s="26">
        <f>C21/C17-1</f>
        <v>-0.77258883248730958</v>
      </c>
      <c r="D27" s="30" t="s">
        <v>416</v>
      </c>
      <c r="E27" s="29"/>
      <c r="F27" s="29"/>
      <c r="G27" s="29"/>
    </row>
    <row r="28" spans="1:7" x14ac:dyDescent="0.45">
      <c r="A28" s="42" t="s">
        <v>417</v>
      </c>
      <c r="B28" s="40"/>
      <c r="C28" s="26">
        <f>C21/E17-1</f>
        <v>0.13705583756345185</v>
      </c>
      <c r="D28" s="30" t="s">
        <v>418</v>
      </c>
      <c r="E28" s="29"/>
      <c r="F28" s="29"/>
      <c r="G28" s="29"/>
    </row>
    <row r="29" spans="1:7" x14ac:dyDescent="0.45">
      <c r="A29" s="42" t="s">
        <v>419</v>
      </c>
      <c r="B29" s="40"/>
      <c r="C29" s="26">
        <f>C27-C28</f>
        <v>-0.90964467005076144</v>
      </c>
      <c r="D29" s="30" t="s">
        <v>420</v>
      </c>
      <c r="E29" s="29"/>
      <c r="F29" s="29"/>
      <c r="G29" s="29"/>
    </row>
    <row r="30" spans="1:7" x14ac:dyDescent="0.45">
      <c r="A30" s="42" t="s">
        <v>421</v>
      </c>
      <c r="B30" s="40"/>
      <c r="C30" s="26">
        <f>C29*VLOOKUP("010120",'06 목표비중'!$B$30:$F$44,5,FALSE)</f>
        <v>-5.0535815002820075E-2</v>
      </c>
      <c r="D30" s="30" t="s">
        <v>422</v>
      </c>
      <c r="E30" s="29"/>
      <c r="F30" s="29"/>
      <c r="G30" s="29"/>
    </row>
    <row r="32" spans="1:7" x14ac:dyDescent="0.45">
      <c r="A32" s="36" t="s">
        <v>423</v>
      </c>
      <c r="B32" s="29"/>
      <c r="C32" s="29"/>
      <c r="D32" s="29"/>
      <c r="E32" s="29"/>
      <c r="F32" s="29"/>
      <c r="G32" s="29"/>
    </row>
    <row r="33" spans="1:7" x14ac:dyDescent="0.45">
      <c r="A33" s="35" t="s">
        <v>424</v>
      </c>
      <c r="B33" s="29"/>
      <c r="C33" s="29"/>
      <c r="D33" s="29"/>
      <c r="E33" s="29"/>
      <c r="F33" s="29"/>
      <c r="G33" s="29"/>
    </row>
    <row r="34" spans="1:7" x14ac:dyDescent="0.45">
      <c r="A34" s="35" t="s">
        <v>425</v>
      </c>
      <c r="B34" s="29"/>
      <c r="C34" s="29"/>
      <c r="D34" s="29"/>
      <c r="E34" s="29"/>
      <c r="F34" s="29"/>
      <c r="G34" s="29"/>
    </row>
    <row r="35" spans="1:7" x14ac:dyDescent="0.45">
      <c r="A35" s="35" t="s">
        <v>426</v>
      </c>
      <c r="B35" s="29"/>
      <c r="C35" s="29"/>
      <c r="D35" s="29"/>
      <c r="E35" s="29"/>
      <c r="F35" s="29"/>
      <c r="G35" s="29"/>
    </row>
    <row r="36" spans="1:7" x14ac:dyDescent="0.45">
      <c r="A36" s="36"/>
      <c r="B36" s="29"/>
      <c r="C36" s="29"/>
      <c r="D36" s="29"/>
      <c r="E36" s="29"/>
      <c r="F36" s="29"/>
      <c r="G36" s="29"/>
    </row>
    <row r="37" spans="1:7" x14ac:dyDescent="0.45">
      <c r="A37" s="36" t="s">
        <v>427</v>
      </c>
      <c r="B37" s="29"/>
      <c r="C37" s="29"/>
      <c r="D37" s="29"/>
      <c r="E37" s="29"/>
      <c r="F37" s="29"/>
      <c r="G37" s="29"/>
    </row>
    <row r="38" spans="1:7" x14ac:dyDescent="0.45">
      <c r="A38" s="35" t="s">
        <v>428</v>
      </c>
      <c r="B38" s="29"/>
      <c r="C38" s="29"/>
      <c r="D38" s="29"/>
      <c r="E38" s="29"/>
      <c r="F38" s="29"/>
      <c r="G38" s="29"/>
    </row>
    <row r="39" spans="1:7" x14ac:dyDescent="0.45">
      <c r="A39" s="35" t="s">
        <v>429</v>
      </c>
      <c r="B39" s="29"/>
      <c r="C39" s="29"/>
      <c r="D39" s="29"/>
      <c r="E39" s="29"/>
      <c r="F39" s="29"/>
      <c r="G39" s="29"/>
    </row>
    <row r="40" spans="1:7" x14ac:dyDescent="0.45">
      <c r="A40" s="35" t="s">
        <v>430</v>
      </c>
      <c r="B40" s="29"/>
      <c r="C40" s="29"/>
      <c r="D40" s="29"/>
      <c r="E40" s="29"/>
      <c r="F40" s="29"/>
      <c r="G40" s="29"/>
    </row>
  </sheetData>
  <mergeCells count="27">
    <mergeCell ref="A38:G38"/>
    <mergeCell ref="D29:G29"/>
    <mergeCell ref="A10:G10"/>
    <mergeCell ref="A13:G13"/>
    <mergeCell ref="A40:G40"/>
    <mergeCell ref="A39:G39"/>
    <mergeCell ref="A34:G34"/>
    <mergeCell ref="A27:B27"/>
    <mergeCell ref="A11:G11"/>
    <mergeCell ref="A36:G36"/>
    <mergeCell ref="D27:G27"/>
    <mergeCell ref="A37:G37"/>
    <mergeCell ref="A29:B29"/>
    <mergeCell ref="A12:G12"/>
    <mergeCell ref="A28:B28"/>
    <mergeCell ref="A33:G33"/>
    <mergeCell ref="A32:G32"/>
    <mergeCell ref="A30:B30"/>
    <mergeCell ref="A8:G8"/>
    <mergeCell ref="A35:G35"/>
    <mergeCell ref="A4:G4"/>
    <mergeCell ref="D30:G30"/>
    <mergeCell ref="A9:G9"/>
    <mergeCell ref="A6:G6"/>
    <mergeCell ref="A7:G7"/>
    <mergeCell ref="D28:G28"/>
    <mergeCell ref="A5:G5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showGridLines="0" workbookViewId="0">
      <pane ySplit="9" topLeftCell="A10" activePane="bottomLeft" state="frozen"/>
      <selection pane="bottomLeft"/>
    </sheetView>
  </sheetViews>
  <sheetFormatPr defaultRowHeight="17" x14ac:dyDescent="0.45"/>
  <cols>
    <col min="1" max="1" width="6" customWidth="1"/>
    <col min="2" max="2" width="8" customWidth="1"/>
    <col min="3" max="3" width="30" customWidth="1"/>
    <col min="4" max="4" width="12" customWidth="1"/>
    <col min="5" max="6" width="20" customWidth="1"/>
    <col min="7" max="7" width="14" customWidth="1"/>
    <col min="8" max="8" width="40" customWidth="1"/>
  </cols>
  <sheetData>
    <row r="1" spans="1:8" ht="24" customHeight="1" x14ac:dyDescent="0.7">
      <c r="A1" s="1" t="s">
        <v>431</v>
      </c>
    </row>
    <row r="2" spans="1:8" x14ac:dyDescent="0.45">
      <c r="A2" s="2" t="s">
        <v>432</v>
      </c>
    </row>
    <row r="4" spans="1:8" x14ac:dyDescent="0.45">
      <c r="A4" s="36" t="s">
        <v>433</v>
      </c>
      <c r="B4" s="29"/>
      <c r="C4" s="29"/>
      <c r="D4" s="29"/>
      <c r="E4" s="29"/>
      <c r="F4" s="29"/>
      <c r="G4" s="29"/>
      <c r="H4" s="29"/>
    </row>
    <row r="5" spans="1:8" x14ac:dyDescent="0.45">
      <c r="A5" s="35" t="s">
        <v>434</v>
      </c>
      <c r="B5" s="29"/>
      <c r="C5" s="29"/>
      <c r="D5" s="29"/>
      <c r="E5" s="29"/>
      <c r="F5" s="29"/>
      <c r="G5" s="29"/>
      <c r="H5" s="29"/>
    </row>
    <row r="6" spans="1:8" x14ac:dyDescent="0.45">
      <c r="A6" s="35" t="s">
        <v>435</v>
      </c>
      <c r="B6" s="29"/>
      <c r="C6" s="29"/>
      <c r="D6" s="29"/>
      <c r="E6" s="29"/>
      <c r="F6" s="29"/>
      <c r="G6" s="29"/>
      <c r="H6" s="29"/>
    </row>
    <row r="7" spans="1:8" x14ac:dyDescent="0.45">
      <c r="A7" s="35" t="s">
        <v>436</v>
      </c>
      <c r="B7" s="29"/>
      <c r="C7" s="29"/>
      <c r="D7" s="29"/>
      <c r="E7" s="29"/>
      <c r="F7" s="29"/>
      <c r="G7" s="29"/>
      <c r="H7" s="29"/>
    </row>
    <row r="9" spans="1:8" x14ac:dyDescent="0.45">
      <c r="A9" s="4"/>
      <c r="B9" s="4" t="s">
        <v>97</v>
      </c>
      <c r="C9" s="4" t="s">
        <v>437</v>
      </c>
      <c r="D9" s="4" t="s">
        <v>438</v>
      </c>
      <c r="E9" s="4" t="s">
        <v>439</v>
      </c>
      <c r="F9" s="4" t="s">
        <v>440</v>
      </c>
      <c r="G9" s="4" t="s">
        <v>441</v>
      </c>
      <c r="H9" s="4" t="s">
        <v>442</v>
      </c>
    </row>
    <row r="10" spans="1:8" x14ac:dyDescent="0.45">
      <c r="A10" s="10" t="s">
        <v>443</v>
      </c>
      <c r="B10" s="10" t="s">
        <v>102</v>
      </c>
      <c r="C10" s="5" t="s">
        <v>103</v>
      </c>
      <c r="D10" s="10" t="s">
        <v>146</v>
      </c>
      <c r="E10" s="7" t="str">
        <f>'02 자료마감일'!B26</f>
        <v>2026-06-23</v>
      </c>
      <c r="F10" s="7"/>
      <c r="G10" s="12"/>
      <c r="H10" s="7"/>
    </row>
    <row r="11" spans="1:8" x14ac:dyDescent="0.45">
      <c r="A11" s="10" t="s">
        <v>444</v>
      </c>
      <c r="B11" s="10" t="s">
        <v>445</v>
      </c>
      <c r="C11" s="5" t="s">
        <v>446</v>
      </c>
      <c r="D11" s="10" t="s">
        <v>447</v>
      </c>
      <c r="E11" s="17">
        <f>'03-04 거래대금·ADTV90'!B108</f>
        <v>315154781.22222221</v>
      </c>
      <c r="F11" s="7"/>
      <c r="G11" s="12"/>
      <c r="H11" s="7"/>
    </row>
    <row r="12" spans="1:8" x14ac:dyDescent="0.45">
      <c r="A12" s="10" t="s">
        <v>448</v>
      </c>
      <c r="B12" s="10" t="s">
        <v>445</v>
      </c>
      <c r="C12" s="5" t="s">
        <v>449</v>
      </c>
      <c r="D12" s="10" t="s">
        <v>450</v>
      </c>
      <c r="E12" s="43">
        <f>'03-04 거래대금·ADTV90'!B104-'03-04 거래대금·ADTV90'!B106</f>
        <v>90</v>
      </c>
      <c r="F12" s="7"/>
      <c r="G12" s="12"/>
      <c r="H12" s="7"/>
    </row>
    <row r="13" spans="1:8" x14ac:dyDescent="0.45">
      <c r="A13" s="10" t="s">
        <v>451</v>
      </c>
      <c r="B13" s="10" t="s">
        <v>117</v>
      </c>
      <c r="C13" s="5" t="s">
        <v>452</v>
      </c>
      <c r="D13" s="10" t="s">
        <v>447</v>
      </c>
      <c r="E13" s="17">
        <f>'05 P10·편입판정'!B32</f>
        <v>316884754.0355556</v>
      </c>
      <c r="F13" s="7"/>
      <c r="G13" s="12"/>
      <c r="H13" s="7"/>
    </row>
    <row r="14" spans="1:8" x14ac:dyDescent="0.45">
      <c r="A14" s="10" t="s">
        <v>453</v>
      </c>
      <c r="B14" s="10" t="s">
        <v>117</v>
      </c>
      <c r="C14" s="5" t="s">
        <v>320</v>
      </c>
      <c r="D14" s="10" t="s">
        <v>454</v>
      </c>
      <c r="E14" s="7" t="str">
        <f>'05 P10·편입판정'!B33</f>
        <v>제외</v>
      </c>
      <c r="F14" s="7"/>
      <c r="G14" s="12"/>
      <c r="H14" s="7"/>
    </row>
    <row r="15" spans="1:8" x14ac:dyDescent="0.45">
      <c r="A15" s="10" t="s">
        <v>455</v>
      </c>
      <c r="B15" s="10" t="s">
        <v>117</v>
      </c>
      <c r="C15" s="5" t="s">
        <v>456</v>
      </c>
      <c r="D15" s="10" t="s">
        <v>457</v>
      </c>
      <c r="E15" s="7">
        <f>'05 P10·편입판정'!B35</f>
        <v>1</v>
      </c>
      <c r="F15" s="7"/>
      <c r="G15" s="12"/>
      <c r="H15" s="7"/>
    </row>
    <row r="16" spans="1:8" x14ac:dyDescent="0.45">
      <c r="A16" s="10" t="s">
        <v>458</v>
      </c>
      <c r="B16" s="10" t="s">
        <v>117</v>
      </c>
      <c r="C16" s="5" t="s">
        <v>459</v>
      </c>
      <c r="D16" s="10" t="s">
        <v>457</v>
      </c>
      <c r="E16" s="7">
        <f>'05 P10·편입판정'!B43</f>
        <v>11</v>
      </c>
      <c r="F16" s="7"/>
      <c r="G16" s="12"/>
      <c r="H16" s="7"/>
    </row>
    <row r="17" spans="1:8" x14ac:dyDescent="0.45">
      <c r="A17" s="10" t="s">
        <v>460</v>
      </c>
      <c r="B17" s="10" t="s">
        <v>122</v>
      </c>
      <c r="C17" s="5" t="s">
        <v>461</v>
      </c>
      <c r="D17" s="10" t="s">
        <v>462</v>
      </c>
      <c r="E17" s="19">
        <f>'06 목표비중'!F45</f>
        <v>1.0000000000000002</v>
      </c>
      <c r="F17" s="7"/>
      <c r="G17" s="12"/>
      <c r="H17" s="7"/>
    </row>
    <row r="18" spans="1:8" x14ac:dyDescent="0.45">
      <c r="A18" s="10" t="s">
        <v>463</v>
      </c>
      <c r="B18" s="10" t="s">
        <v>122</v>
      </c>
      <c r="C18" s="5" t="s">
        <v>464</v>
      </c>
      <c r="D18" s="10" t="s">
        <v>465</v>
      </c>
      <c r="E18" s="44">
        <f>'06 목표비중'!B53</f>
        <v>16.666666666666664</v>
      </c>
      <c r="F18" s="7"/>
      <c r="G18" s="12"/>
      <c r="H18" s="7"/>
    </row>
    <row r="19" spans="1:8" x14ac:dyDescent="0.45">
      <c r="A19" s="10" t="s">
        <v>466</v>
      </c>
      <c r="B19" s="10" t="s">
        <v>127</v>
      </c>
      <c r="C19" s="5" t="s">
        <v>467</v>
      </c>
      <c r="D19" s="10" t="s">
        <v>468</v>
      </c>
      <c r="E19" s="17">
        <f>'07 지수레벨'!D36</f>
        <v>1023.8015667579472</v>
      </c>
      <c r="F19" s="7"/>
      <c r="G19" s="12"/>
      <c r="H19" s="7"/>
    </row>
    <row r="20" spans="1:8" x14ac:dyDescent="0.45">
      <c r="A20" s="10" t="s">
        <v>469</v>
      </c>
      <c r="B20" s="10" t="s">
        <v>132</v>
      </c>
      <c r="C20" s="5" t="s">
        <v>470</v>
      </c>
      <c r="D20" s="10" t="s">
        <v>465</v>
      </c>
      <c r="E20" s="44">
        <f>'08 분할효과'!C27*100</f>
        <v>-77.258883248730953</v>
      </c>
      <c r="F20" s="7"/>
      <c r="G20" s="12"/>
      <c r="H20" s="7"/>
    </row>
    <row r="21" spans="1:8" x14ac:dyDescent="0.45">
      <c r="A21" s="10" t="s">
        <v>471</v>
      </c>
      <c r="B21" s="10" t="s">
        <v>132</v>
      </c>
      <c r="C21" s="5" t="s">
        <v>472</v>
      </c>
      <c r="D21" s="10" t="s">
        <v>465</v>
      </c>
      <c r="E21" s="44">
        <f>'08 분할효과'!C28*100</f>
        <v>13.705583756345185</v>
      </c>
      <c r="F21" s="7"/>
      <c r="G21" s="12"/>
      <c r="H21" s="7"/>
    </row>
    <row r="23" spans="1:8" x14ac:dyDescent="0.45">
      <c r="A23" s="3" t="s">
        <v>473</v>
      </c>
    </row>
    <row r="24" spans="1:8" x14ac:dyDescent="0.45">
      <c r="A24" s="42" t="s">
        <v>474</v>
      </c>
      <c r="B24" s="39"/>
      <c r="C24" s="40"/>
      <c r="D24" s="33">
        <f>COUNTIF($G$10:$G$21,"일치")</f>
        <v>0</v>
      </c>
      <c r="E24" s="29"/>
      <c r="F24" s="29"/>
      <c r="G24" s="29"/>
      <c r="H24" s="29"/>
    </row>
    <row r="25" spans="1:8" x14ac:dyDescent="0.45">
      <c r="A25" s="42" t="s">
        <v>475</v>
      </c>
      <c r="B25" s="39"/>
      <c r="C25" s="40"/>
      <c r="D25" s="33">
        <f>COUNTIF($G$10:$G$21,"불일치")</f>
        <v>0</v>
      </c>
      <c r="E25" s="29"/>
      <c r="F25" s="29"/>
      <c r="G25" s="29"/>
      <c r="H25" s="29"/>
    </row>
    <row r="26" spans="1:8" x14ac:dyDescent="0.45">
      <c r="A26" s="42" t="s">
        <v>476</v>
      </c>
      <c r="B26" s="39"/>
      <c r="C26" s="40"/>
      <c r="D26" s="33" t="str">
        <f>IF(COUNTA($F$10:$F$21)&lt;12,"코드값 미입력 — 봉인 파일 개봉 후 F·G열을 채우면 결론이 자동 산출됩니다",IF(D25=0,"12개 항목 전부 일치 — 구현이 규칙대로 작동함을 수기 검산으로 확인","불일치 "&amp;D25&amp;"건 — H열에 원인을 기록할 것"))</f>
        <v>코드값 미입력 — 봉인 파일 개봉 후 F·G열을 채우면 결론이 자동 산출됩니다</v>
      </c>
      <c r="E26" s="29"/>
      <c r="F26" s="29"/>
      <c r="G26" s="29"/>
      <c r="H26" s="29"/>
    </row>
  </sheetData>
  <mergeCells count="10">
    <mergeCell ref="A26:C26"/>
    <mergeCell ref="A24:C24"/>
    <mergeCell ref="A6:H6"/>
    <mergeCell ref="D26:H26"/>
    <mergeCell ref="A4:H4"/>
    <mergeCell ref="A25:C25"/>
    <mergeCell ref="D25:H25"/>
    <mergeCell ref="A7:H7"/>
    <mergeCell ref="D24:H24"/>
    <mergeCell ref="A5:H5"/>
  </mergeCells>
  <phoneticPr fontId="8" type="noConversion"/>
  <dataValidations count="1">
    <dataValidation type="list" allowBlank="1" sqref="G10 G11 G12 G13 G14 G15 G16 G17 G18 G19 G20 G21" xr:uid="{00000000-0002-0000-0800-000000000000}">
      <formula1>"일치,불일치,미확인"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showGridLines="0" tabSelected="1" workbookViewId="0">
      <pane ySplit="9" topLeftCell="A10" activePane="bottomLeft" state="frozen"/>
      <selection pane="bottomLeft"/>
    </sheetView>
  </sheetViews>
  <sheetFormatPr defaultRowHeight="17" x14ac:dyDescent="0.45"/>
  <cols>
    <col min="1" max="1" width="4" customWidth="1"/>
    <col min="2" max="2" width="30" customWidth="1"/>
    <col min="3" max="4" width="26" customWidth="1"/>
    <col min="5" max="5" width="12" customWidth="1"/>
    <col min="6" max="6" width="46" customWidth="1"/>
  </cols>
  <sheetData>
    <row r="1" spans="1:8" ht="24" customHeight="1" x14ac:dyDescent="0.7">
      <c r="A1" s="1" t="s">
        <v>477</v>
      </c>
    </row>
    <row r="2" spans="1:8" x14ac:dyDescent="0.45">
      <c r="A2" s="2" t="s">
        <v>478</v>
      </c>
    </row>
    <row r="4" spans="1:8" x14ac:dyDescent="0.45">
      <c r="A4" s="28" t="s">
        <v>479</v>
      </c>
      <c r="B4" s="29"/>
      <c r="C4" s="29"/>
      <c r="D4" s="29"/>
      <c r="E4" s="29"/>
      <c r="F4" s="29"/>
      <c r="G4" s="29"/>
      <c r="H4" s="29"/>
    </row>
    <row r="5" spans="1:8" x14ac:dyDescent="0.45">
      <c r="A5" s="31" t="s">
        <v>480</v>
      </c>
      <c r="B5" s="29"/>
      <c r="C5" s="29"/>
      <c r="D5" s="29"/>
      <c r="E5" s="29"/>
      <c r="F5" s="29"/>
      <c r="G5" s="29"/>
      <c r="H5" s="29"/>
    </row>
    <row r="6" spans="1:8" x14ac:dyDescent="0.45">
      <c r="A6" s="31" t="s">
        <v>481</v>
      </c>
      <c r="B6" s="29"/>
      <c r="C6" s="29"/>
      <c r="D6" s="29"/>
      <c r="E6" s="29"/>
      <c r="F6" s="29"/>
      <c r="G6" s="29"/>
      <c r="H6" s="29"/>
    </row>
    <row r="8" spans="1:8" x14ac:dyDescent="0.45">
      <c r="A8" s="3" t="s">
        <v>482</v>
      </c>
    </row>
    <row r="9" spans="1:8" x14ac:dyDescent="0.45">
      <c r="A9" s="4"/>
      <c r="B9" s="4" t="s">
        <v>483</v>
      </c>
      <c r="C9" s="4" t="s">
        <v>439</v>
      </c>
      <c r="D9" s="4" t="s">
        <v>440</v>
      </c>
      <c r="E9" s="4" t="s">
        <v>441</v>
      </c>
      <c r="F9" s="4" t="s">
        <v>484</v>
      </c>
    </row>
    <row r="10" spans="1:8" x14ac:dyDescent="0.45">
      <c r="A10" s="10" t="s">
        <v>443</v>
      </c>
      <c r="B10" s="5" t="s">
        <v>103</v>
      </c>
      <c r="C10" s="7" t="str">
        <f>'09 대조표'!E10</f>
        <v>2026-06-23</v>
      </c>
      <c r="D10" s="7">
        <f>'09 대조표'!F10</f>
        <v>0</v>
      </c>
      <c r="E10" s="12">
        <f>'09 대조표'!G10</f>
        <v>0</v>
      </c>
      <c r="F10" s="11" t="s">
        <v>485</v>
      </c>
    </row>
    <row r="11" spans="1:8" x14ac:dyDescent="0.45">
      <c r="A11" s="10" t="s">
        <v>444</v>
      </c>
      <c r="B11" s="5" t="s">
        <v>446</v>
      </c>
      <c r="C11" s="7">
        <f>'09 대조표'!E11</f>
        <v>315154781.22222221</v>
      </c>
      <c r="D11" s="7">
        <f>'09 대조표'!F11</f>
        <v>0</v>
      </c>
      <c r="E11" s="12">
        <f>'09 대조표'!G11</f>
        <v>0</v>
      </c>
      <c r="F11" s="11" t="s">
        <v>486</v>
      </c>
    </row>
    <row r="12" spans="1:8" x14ac:dyDescent="0.45">
      <c r="A12" s="10" t="s">
        <v>448</v>
      </c>
      <c r="B12" s="5" t="s">
        <v>449</v>
      </c>
      <c r="C12" s="7">
        <f>'09 대조표'!E12</f>
        <v>90</v>
      </c>
      <c r="D12" s="7">
        <f>'09 대조표'!F12</f>
        <v>0</v>
      </c>
      <c r="E12" s="12">
        <f>'09 대조표'!G12</f>
        <v>0</v>
      </c>
      <c r="F12" s="11" t="s">
        <v>487</v>
      </c>
    </row>
    <row r="13" spans="1:8" x14ac:dyDescent="0.45">
      <c r="A13" s="10" t="s">
        <v>451</v>
      </c>
      <c r="B13" s="5" t="s">
        <v>452</v>
      </c>
      <c r="C13" s="7">
        <f>'09 대조표'!E13</f>
        <v>316884754.0355556</v>
      </c>
      <c r="D13" s="7">
        <f>'09 대조표'!F13</f>
        <v>0</v>
      </c>
      <c r="E13" s="12">
        <f>'09 대조표'!G13</f>
        <v>0</v>
      </c>
      <c r="F13" s="11" t="s">
        <v>488</v>
      </c>
    </row>
    <row r="14" spans="1:8" x14ac:dyDescent="0.45">
      <c r="A14" s="10" t="s">
        <v>453</v>
      </c>
      <c r="B14" s="5" t="s">
        <v>320</v>
      </c>
      <c r="C14" s="7" t="str">
        <f>'09 대조표'!E14</f>
        <v>제외</v>
      </c>
      <c r="D14" s="7">
        <f>'09 대조표'!F14</f>
        <v>0</v>
      </c>
      <c r="E14" s="12">
        <f>'09 대조표'!G14</f>
        <v>0</v>
      </c>
      <c r="F14" s="11" t="s">
        <v>489</v>
      </c>
    </row>
    <row r="15" spans="1:8" x14ac:dyDescent="0.45">
      <c r="A15" s="10" t="s">
        <v>455</v>
      </c>
      <c r="B15" s="5" t="s">
        <v>456</v>
      </c>
      <c r="C15" s="7">
        <f>'09 대조표'!E15</f>
        <v>1</v>
      </c>
      <c r="D15" s="7">
        <f>'09 대조표'!F15</f>
        <v>0</v>
      </c>
      <c r="E15" s="12">
        <f>'09 대조표'!G15</f>
        <v>0</v>
      </c>
      <c r="F15" s="11" t="s">
        <v>490</v>
      </c>
    </row>
    <row r="16" spans="1:8" x14ac:dyDescent="0.45">
      <c r="A16" s="10" t="s">
        <v>458</v>
      </c>
      <c r="B16" s="5" t="s">
        <v>459</v>
      </c>
      <c r="C16" s="7">
        <f>'09 대조표'!E16</f>
        <v>11</v>
      </c>
      <c r="D16" s="7">
        <f>'09 대조표'!F16</f>
        <v>0</v>
      </c>
      <c r="E16" s="12">
        <f>'09 대조표'!G16</f>
        <v>0</v>
      </c>
      <c r="F16" s="11" t="s">
        <v>491</v>
      </c>
    </row>
    <row r="17" spans="1:6" x14ac:dyDescent="0.45">
      <c r="A17" s="10" t="s">
        <v>460</v>
      </c>
      <c r="B17" s="5" t="s">
        <v>461</v>
      </c>
      <c r="C17" s="7">
        <f>'09 대조표'!E17</f>
        <v>1.0000000000000002</v>
      </c>
      <c r="D17" s="7">
        <f>'09 대조표'!F17</f>
        <v>0</v>
      </c>
      <c r="E17" s="12">
        <f>'09 대조표'!G17</f>
        <v>0</v>
      </c>
      <c r="F17" s="11" t="s">
        <v>492</v>
      </c>
    </row>
    <row r="18" spans="1:6" x14ac:dyDescent="0.45">
      <c r="A18" s="10" t="s">
        <v>463</v>
      </c>
      <c r="B18" s="5" t="s">
        <v>464</v>
      </c>
      <c r="C18" s="7">
        <f>'09 대조표'!E18</f>
        <v>16.666666666666664</v>
      </c>
      <c r="D18" s="7">
        <f>'09 대조표'!F18</f>
        <v>0</v>
      </c>
      <c r="E18" s="12">
        <f>'09 대조표'!G18</f>
        <v>0</v>
      </c>
      <c r="F18" s="11" t="s">
        <v>493</v>
      </c>
    </row>
    <row r="19" spans="1:6" x14ac:dyDescent="0.45">
      <c r="A19" s="10" t="s">
        <v>466</v>
      </c>
      <c r="B19" s="5" t="s">
        <v>467</v>
      </c>
      <c r="C19" s="7">
        <f>'09 대조표'!E19</f>
        <v>1023.8015667579472</v>
      </c>
      <c r="D19" s="7">
        <f>'09 대조표'!F19</f>
        <v>0</v>
      </c>
      <c r="E19" s="12">
        <f>'09 대조표'!G19</f>
        <v>0</v>
      </c>
      <c r="F19" s="11" t="s">
        <v>494</v>
      </c>
    </row>
    <row r="20" spans="1:6" x14ac:dyDescent="0.45">
      <c r="A20" s="10" t="s">
        <v>469</v>
      </c>
      <c r="B20" s="5" t="s">
        <v>470</v>
      </c>
      <c r="C20" s="7">
        <f>'09 대조표'!E20</f>
        <v>-77.258883248730953</v>
      </c>
      <c r="D20" s="7">
        <f>'09 대조표'!F20</f>
        <v>0</v>
      </c>
      <c r="E20" s="12">
        <f>'09 대조표'!G20</f>
        <v>0</v>
      </c>
      <c r="F20" s="11" t="s">
        <v>495</v>
      </c>
    </row>
    <row r="21" spans="1:6" x14ac:dyDescent="0.45">
      <c r="A21" s="10" t="s">
        <v>471</v>
      </c>
      <c r="B21" s="5" t="s">
        <v>472</v>
      </c>
      <c r="C21" s="7">
        <f>'09 대조표'!E21</f>
        <v>13.705583756345185</v>
      </c>
      <c r="D21" s="7">
        <f>'09 대조표'!F21</f>
        <v>0</v>
      </c>
      <c r="E21" s="12">
        <f>'09 대조표'!G21</f>
        <v>0</v>
      </c>
      <c r="F21" s="11" t="s">
        <v>496</v>
      </c>
    </row>
    <row r="23" spans="1:6" x14ac:dyDescent="0.45">
      <c r="A23" s="36" t="s">
        <v>497</v>
      </c>
      <c r="B23" s="29"/>
      <c r="C23" s="29"/>
      <c r="D23" s="29"/>
      <c r="E23" s="29"/>
      <c r="F23" s="29"/>
    </row>
    <row r="24" spans="1:6" x14ac:dyDescent="0.45">
      <c r="A24" s="35" t="s">
        <v>498</v>
      </c>
      <c r="B24" s="29"/>
      <c r="C24" s="29"/>
      <c r="D24" s="29"/>
      <c r="E24" s="29"/>
      <c r="F24" s="29"/>
    </row>
    <row r="25" spans="1:6" x14ac:dyDescent="0.45">
      <c r="A25" s="35" t="s">
        <v>499</v>
      </c>
      <c r="B25" s="29"/>
      <c r="C25" s="29"/>
      <c r="D25" s="29"/>
      <c r="E25" s="29"/>
      <c r="F25" s="29"/>
    </row>
    <row r="26" spans="1:6" x14ac:dyDescent="0.45">
      <c r="A26" s="35" t="s">
        <v>500</v>
      </c>
      <c r="B26" s="29"/>
      <c r="C26" s="29"/>
      <c r="D26" s="29"/>
      <c r="E26" s="29"/>
      <c r="F26" s="29"/>
    </row>
    <row r="27" spans="1:6" x14ac:dyDescent="0.45">
      <c r="A27" s="35" t="s">
        <v>501</v>
      </c>
      <c r="B27" s="29"/>
      <c r="C27" s="29"/>
      <c r="D27" s="29"/>
      <c r="E27" s="29"/>
      <c r="F27" s="29"/>
    </row>
    <row r="28" spans="1:6" x14ac:dyDescent="0.45">
      <c r="A28" s="36"/>
      <c r="B28" s="29"/>
      <c r="C28" s="29"/>
      <c r="D28" s="29"/>
      <c r="E28" s="29"/>
      <c r="F28" s="29"/>
    </row>
    <row r="29" spans="1:6" x14ac:dyDescent="0.45">
      <c r="A29" s="36" t="s">
        <v>502</v>
      </c>
      <c r="B29" s="29"/>
      <c r="C29" s="29"/>
      <c r="D29" s="29"/>
      <c r="E29" s="29"/>
      <c r="F29" s="29"/>
    </row>
    <row r="30" spans="1:6" x14ac:dyDescent="0.45">
      <c r="A30" s="35" t="s">
        <v>503</v>
      </c>
      <c r="B30" s="29"/>
      <c r="C30" s="29"/>
      <c r="D30" s="29"/>
      <c r="E30" s="29"/>
      <c r="F30" s="29"/>
    </row>
    <row r="31" spans="1:6" x14ac:dyDescent="0.45">
      <c r="A31" s="35" t="s">
        <v>504</v>
      </c>
      <c r="B31" s="29"/>
      <c r="C31" s="29"/>
      <c r="D31" s="29"/>
      <c r="E31" s="29"/>
      <c r="F31" s="29"/>
    </row>
  </sheetData>
  <mergeCells count="12">
    <mergeCell ref="A4:H4"/>
    <mergeCell ref="A28:F28"/>
    <mergeCell ref="A23:F23"/>
    <mergeCell ref="A27:F27"/>
    <mergeCell ref="A31:F31"/>
    <mergeCell ref="A5:H5"/>
    <mergeCell ref="A26:F26"/>
    <mergeCell ref="A30:F30"/>
    <mergeCell ref="A29:F29"/>
    <mergeCell ref="A6:H6"/>
    <mergeCell ref="A25:F25"/>
    <mergeCell ref="A24:F2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 시작하기</vt:lpstr>
      <vt:lpstr>02 자료마감일</vt:lpstr>
      <vt:lpstr>01 검산지도</vt:lpstr>
      <vt:lpstr>03-04 거래대금·ADTV90</vt:lpstr>
      <vt:lpstr>05 P10·편입판정</vt:lpstr>
      <vt:lpstr>06 목표비중</vt:lpstr>
      <vt:lpstr>07 지수레벨</vt:lpstr>
      <vt:lpstr>08 분할효과</vt:lpstr>
      <vt:lpstr>09 대조표</vt:lpstr>
      <vt:lpstr>10 발표용요약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미노 도</cp:lastModifiedBy>
  <dcterms:created xsi:type="dcterms:W3CDTF">2026-07-30T06:00:45Z</dcterms:created>
  <dcterms:modified xsi:type="dcterms:W3CDTF">2026-07-30T08:02:41Z</dcterms:modified>
</cp:coreProperties>
</file>