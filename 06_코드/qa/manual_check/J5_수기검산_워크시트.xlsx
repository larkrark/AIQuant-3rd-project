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시작하기" sheetId="1" state="visible" r:id="rId1"/>
    <sheet xmlns:r="http://schemas.openxmlformats.org/officeDocument/2006/relationships" name="01 검산지도" sheetId="2" state="visible" r:id="rId2"/>
    <sheet xmlns:r="http://schemas.openxmlformats.org/officeDocument/2006/relationships" name="02 자료마감일" sheetId="3" state="visible" r:id="rId3"/>
    <sheet xmlns:r="http://schemas.openxmlformats.org/officeDocument/2006/relationships" name="03-04 거래대금·ADTV90" sheetId="4" state="visible" r:id="rId4"/>
    <sheet xmlns:r="http://schemas.openxmlformats.org/officeDocument/2006/relationships" name="05 P10·편입판정" sheetId="5" state="visible" r:id="rId5"/>
    <sheet xmlns:r="http://schemas.openxmlformats.org/officeDocument/2006/relationships" name="06 목표비중" sheetId="6" state="visible" r:id="rId6"/>
    <sheet xmlns:r="http://schemas.openxmlformats.org/officeDocument/2006/relationships" name="07 지수레벨" sheetId="7" state="visible" r:id="rId7"/>
    <sheet xmlns:r="http://schemas.openxmlformats.org/officeDocument/2006/relationships" name="08 분할효과" sheetId="8" state="visible" r:id="rId8"/>
    <sheet xmlns:r="http://schemas.openxmlformats.org/officeDocument/2006/relationships" name="09 대조표" sheetId="9" state="visible" r:id="rId9"/>
    <sheet xmlns:r="http://schemas.openxmlformats.org/officeDocument/2006/relationships" name="10 발표용요약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#,##0.0"/>
    <numFmt numFmtId="166" formatCode="#,##0.0000"/>
  </numFmts>
  <fonts count="8">
    <font>
      <name val="Calibri"/>
      <family val="2"/>
      <color theme="1"/>
      <sz val="11"/>
      <scheme val="minor"/>
    </font>
    <font>
      <b val="1"/>
      <color rgb="001E2761"/>
      <sz val="16"/>
    </font>
    <font>
      <color rgb="005A5A55"/>
      <sz val="10"/>
    </font>
    <font>
      <sz val="10"/>
    </font>
    <font>
      <color rgb="006B6B66"/>
      <sz val="9"/>
    </font>
    <font>
      <b val="1"/>
      <color rgb="001E2761"/>
      <sz val="11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7F7F4"/>
      </patternFill>
    </fill>
    <fill>
      <patternFill patternType="solid">
        <fgColor rgb="00FDE8E6"/>
      </patternFill>
    </fill>
    <fill>
      <patternFill patternType="solid">
        <fgColor rgb="001E2761"/>
      </patternFill>
    </fill>
    <fill>
      <patternFill patternType="solid">
        <fgColor rgb="00EFEFE9"/>
      </patternFill>
    </fill>
    <fill>
      <patternFill patternType="solid">
        <fgColor rgb="00FFF7D1"/>
      </patternFill>
    </fill>
    <fill>
      <patternFill patternType="solid">
        <fgColor rgb="00FFE9A8"/>
      </patternFill>
    </fill>
  </fills>
  <borders count="6">
    <border>
      <left/>
      <right/>
      <top/>
      <bottom/>
      <diagonal/>
    </border>
    <border>
      <left style="thin">
        <color rgb="00C8C7BC"/>
      </left>
      <right style="thin">
        <color rgb="00C8C7BC"/>
      </right>
      <top style="thin">
        <color rgb="00C8C7BC"/>
      </top>
      <bottom style="thin">
        <color rgb="00C8C7BC"/>
      </bottom>
    </border>
    <border>
      <left/>
      <right/>
      <top style="thin">
        <color rgb="00C8C7BC"/>
      </top>
      <bottom/>
      <diagonal/>
    </border>
    <border>
      <left/>
      <right style="thin">
        <color rgb="00C8C7BC"/>
      </right>
      <top style="thin">
        <color rgb="00C8C7BC"/>
      </top>
      <bottom/>
      <diagonal/>
    </border>
    <border>
      <left/>
      <right/>
      <top style="thin">
        <color rgb="00C8C7BC"/>
      </top>
      <bottom style="thin">
        <color rgb="00C8C7BC"/>
      </bottom>
      <diagonal/>
    </border>
    <border>
      <left/>
      <right style="thin">
        <color rgb="00C8C7BC"/>
      </right>
      <top style="thin">
        <color rgb="00C8C7BC"/>
      </top>
      <bottom style="thin">
        <color rgb="00C8C7B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2" borderId="1" pivotButton="0" quotePrefix="0" xfId="0"/>
    <xf numFmtId="4" fontId="0" fillId="5" borderId="1" pivotButton="0" quotePrefix="0" xfId="0"/>
    <xf numFmtId="3" fontId="0" fillId="5" borderId="1" pivotButton="0" quotePrefix="0" xfId="0"/>
    <xf numFmtId="3" fontId="0" fillId="6" borderId="1" pivotButton="0" quotePrefix="0" xfId="0"/>
    <xf numFmtId="4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0" fillId="7" borderId="1" pivotButton="0" quotePrefix="0" xfId="0"/>
    <xf numFmtId="164" fontId="0" fillId="6" borderId="1" pivotButton="0" quotePrefix="0" xfId="0"/>
    <xf numFmtId="0" fontId="7" fillId="5" borderId="1" pivotButton="0" quotePrefix="0" xfId="0"/>
    <xf numFmtId="164" fontId="0" fillId="7" borderId="1" pivotButton="0" quotePrefix="0" xfId="0"/>
    <xf numFmtId="165" fontId="0" fillId="5" borderId="1" pivotButton="0" quotePrefix="0" xfId="0"/>
    <xf numFmtId="166" fontId="0" fillId="7" borderId="1" pivotButton="0" quotePrefix="0" xfId="0"/>
    <xf numFmtId="165" fontId="0" fillId="6" borderId="1" pivotButton="0" quotePrefix="0" xfId="0"/>
    <xf numFmtId="10" fontId="0" fillId="6" borderId="1" pivotButton="0" quotePrefix="0" xfId="0"/>
    <xf numFmtId="1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0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1" t="inlineStr">
        <is>
          <t>J-5 수기 검산 워크북</t>
        </is>
      </c>
    </row>
    <row r="2">
      <c r="A2" s="2" t="inlineStr">
        <is>
          <t>코드가 낸 지수를 사람이 원자료부터 손으로 다시 계산해 대조한다 · 룰북 §14 · §18.4</t>
        </is>
      </c>
    </row>
    <row r="4">
      <c r="A4" s="3" t="inlineStr">
        <is>
          <t>■ 이 문서가 하는 일</t>
        </is>
      </c>
    </row>
    <row r="5">
      <c r="A5" s="4" t="inlineStr">
        <is>
          <t xml:space="preserve">  코드가 계산한 값을 사람이 독립적으로 다시 계산합니다. 두 값이 같으면 구현이 규칙대로 작동한다는 증거가 됩니다.</t>
        </is>
      </c>
    </row>
    <row r="6">
      <c r="A6" s="4" t="inlineStr">
        <is>
          <t xml:space="preserve">  다르면 어느 쪽이 틀렸는지 찾습니다. 어느 쪽이든 알아내는 것이 목적입니다.</t>
        </is>
      </c>
    </row>
    <row r="7">
      <c r="A7" s="3" t="inlineStr"/>
    </row>
    <row r="8">
      <c r="A8" s="3" t="inlineStr">
        <is>
          <t>■ 왜 필요한가</t>
        </is>
      </c>
    </row>
    <row r="9">
      <c r="A9" s="4" t="inlineStr">
        <is>
          <t xml:space="preserve">  이미 코드로 독립 재산출을 해서 10개 항목이 일치했습니다. 그러나 그것은 코드가 코드를 검증한 것입니다.</t>
        </is>
      </c>
    </row>
    <row r="10">
      <c r="A10" s="4" t="inlineStr">
        <is>
          <t xml:space="preserve">  두 구현이 같은 규칙을 같이 잘못 이해했다면 둘 다 같은 값을 냅니다. 사람이 손으로 한 번 따라가야 그 경우가 걸러집니다.</t>
        </is>
      </c>
    </row>
    <row r="12">
      <c r="A12" s="5" t="inlineStr">
        <is>
          <t>■ 반드시 지킬 것 — 답을 먼저 보지 않습니다</t>
        </is>
      </c>
    </row>
    <row r="13">
      <c r="A13" s="6" t="inlineStr">
        <is>
          <t xml:space="preserve">  이 파일에는 코드가 낸 값이 하나도 들어 있지 않습니다. 일부러 뺐습니다.</t>
        </is>
      </c>
    </row>
    <row r="14">
      <c r="A14" s="6" t="inlineStr">
        <is>
          <t xml:space="preserve">  답을 옆에 두고 채우면 무의식적으로 맞춰 쓰게 되어(확증편향) 검산이 성립하지 않습니다.</t>
        </is>
      </c>
    </row>
    <row r="15">
      <c r="A15" s="6" t="inlineStr">
        <is>
          <t xml:space="preserve">  코드값은 J5_코드값_봉인.xlsx 에 따로 있습니다. 노란 칸을 전부 채우고 저장한 다음에 여십시오.</t>
        </is>
      </c>
    </row>
    <row r="16">
      <c r="A16" s="6" t="inlineStr">
        <is>
          <t xml:space="preserve">  → 순서: ① 노란 칸 전부 채움  ② 파일 저장  ③ 봉인 파일 열기  ④ 08 대조표에 옮겨 적기</t>
        </is>
      </c>
    </row>
    <row r="18">
      <c r="A18" s="7" t="inlineStr">
        <is>
          <t>색 범례</t>
        </is>
      </c>
    </row>
    <row r="19">
      <c r="A19" s="8" t="inlineStr">
        <is>
          <t>색</t>
        </is>
      </c>
      <c r="B19" s="8" t="inlineStr">
        <is>
          <t>뜻</t>
        </is>
      </c>
      <c r="C19" s="8" t="inlineStr">
        <is>
          <t>다루는 법</t>
        </is>
      </c>
    </row>
    <row r="20">
      <c r="A20" s="9" t="inlineStr"/>
      <c r="B20" s="10" t="inlineStr">
        <is>
          <t>주어진 자료</t>
        </is>
      </c>
      <c r="C20" s="10" t="inlineStr">
        <is>
          <t>원자료입니다. 고치지 마십시오.</t>
        </is>
      </c>
    </row>
    <row r="21">
      <c r="A21" s="11" t="inlineStr"/>
      <c r="B21" s="10" t="inlineStr">
        <is>
          <t>계산 칸</t>
        </is>
      </c>
      <c r="C21" s="10" t="inlineStr">
        <is>
          <t>직접 채웁니다. 엑셀 수식을 써도 됩니다.</t>
        </is>
      </c>
    </row>
    <row r="22">
      <c r="A22" s="12" t="inlineStr"/>
      <c r="B22" s="10" t="inlineStr">
        <is>
          <t>최종 답 칸</t>
        </is>
      </c>
      <c r="C22" s="10" t="inlineStr">
        <is>
          <t>그 시트의 결론입니다. 대조표로 옮깁니다.</t>
        </is>
      </c>
    </row>
    <row r="23">
      <c r="A23" s="13" t="inlineStr"/>
      <c r="B23" s="10" t="inlineStr">
        <is>
          <t>주의</t>
        </is>
      </c>
      <c r="C23" s="10" t="inlineStr">
        <is>
          <t>틀리기 쉬운 지점입니다. 읽고 진행하십시오.</t>
        </is>
      </c>
    </row>
    <row r="25">
      <c r="A25" s="3" t="inlineStr">
        <is>
          <t>■ 엑셀 수식을 써도 되나요</t>
        </is>
      </c>
    </row>
    <row r="26">
      <c r="A26" s="4" t="inlineStr">
        <is>
          <t xml:space="preserve">  됩니다. 금지되는 것은 우리 프로젝트의 파이썬 코드를 돌리는 것입니다.</t>
        </is>
      </c>
    </row>
    <row r="27">
      <c r="A27" s="4" t="inlineStr">
        <is>
          <t xml:space="preserve">  주어진 원자료에서 엑셀로 평균·정렬·보간을 하는 것은 독립적인 재계산이므로 검산에 해당합니다.</t>
        </is>
      </c>
    </row>
    <row r="29">
      <c r="A29" s="7" t="inlineStr">
        <is>
          <t>검산 기준 — 이 워크북이 무엇을 대상으로 하는지</t>
        </is>
      </c>
    </row>
    <row r="30">
      <c r="A30" s="8" t="inlineStr">
        <is>
          <t>항목</t>
        </is>
      </c>
      <c r="B30" s="8" t="inlineStr">
        <is>
          <t>값</t>
        </is>
      </c>
      <c r="C30" s="8" t="inlineStr">
        <is>
          <t>근거</t>
        </is>
      </c>
    </row>
    <row r="31">
      <c r="A31" s="9" t="inlineStr">
        <is>
          <t>유니버스</t>
        </is>
      </c>
      <c r="B31" s="9" t="inlineStr">
        <is>
          <t>Seed 18 제한 파일럿 (A안)</t>
        </is>
      </c>
      <c r="C31" s="9" t="inlineStr">
        <is>
          <t>회의 결정 2026-07-28</t>
        </is>
      </c>
    </row>
    <row r="32">
      <c r="A32" s="9" t="inlineStr">
        <is>
          <t>검산 회차</t>
        </is>
      </c>
      <c r="B32" s="9" t="inlineStr">
        <is>
          <t>2026-06-30</t>
        </is>
      </c>
      <c r="C32" s="9" t="inlineStr">
        <is>
          <t>자료마감일 2026-06-23</t>
        </is>
      </c>
    </row>
    <row r="33">
      <c r="A33" s="9" t="inlineStr">
        <is>
          <t>대상 산출물</t>
        </is>
      </c>
      <c r="B33" s="9" t="inlineStr">
        <is>
          <t>data/pilot_run/output_f1</t>
        </is>
      </c>
      <c r="C33" s="9" t="inlineStr">
        <is>
          <t>F-1 반영본</t>
        </is>
      </c>
    </row>
    <row r="34">
      <c r="A34" s="9" t="inlineStr">
        <is>
          <t>기업행사</t>
        </is>
      </c>
      <c r="B34" s="9" t="inlineStr">
        <is>
          <t>010120 액면분할 5:1</t>
        </is>
      </c>
      <c r="C34" s="9" t="inlineStr">
        <is>
          <t>DART 20260205800571</t>
        </is>
      </c>
    </row>
    <row r="35">
      <c r="A35" s="9" t="inlineStr">
        <is>
          <t>조정 경계일</t>
        </is>
      </c>
      <c r="B35" s="9" t="inlineStr">
        <is>
          <t>2026-04-13 (신주권상장일)</t>
        </is>
      </c>
      <c r="C35" s="9" t="inlineStr">
        <is>
          <t>효력발생일 2026-04-10 아님</t>
        </is>
      </c>
    </row>
    <row r="36">
      <c r="A36" s="9" t="inlineStr">
        <is>
          <t>지수 기준일 / 기준값</t>
        </is>
      </c>
      <c r="B36" s="9" t="inlineStr">
        <is>
          <t>2026-04-01 / 1,000</t>
        </is>
      </c>
      <c r="C36" s="9" t="inlineStr">
        <is>
          <t>D-08</t>
        </is>
      </c>
    </row>
    <row r="38">
      <c r="A38" s="7" t="inlineStr">
        <is>
          <t>입력 스냅샷 지문 — 이 워크북이 어느 파일을 보고 만들어졌는지</t>
        </is>
      </c>
    </row>
    <row r="39">
      <c r="A39" s="8" t="inlineStr">
        <is>
          <t>파일</t>
        </is>
      </c>
      <c r="B39" s="8" t="inlineStr">
        <is>
          <t>SHA-256 (앞 16자리)</t>
        </is>
      </c>
      <c r="C39" s="8" t="inlineStr">
        <is>
          <t>행 수</t>
        </is>
      </c>
    </row>
    <row r="40">
      <c r="A40" s="9" t="inlineStr">
        <is>
          <t>daily_market_state.csv</t>
        </is>
      </c>
      <c r="B40" s="9" t="inlineStr">
        <is>
          <t>4bc15889822e5032</t>
        </is>
      </c>
      <c r="C40" s="9" t="n">
        <v>3303</v>
      </c>
    </row>
    <row r="41">
      <c r="A41" s="9" t="inlineStr">
        <is>
          <t>adtv90_ledger.csv</t>
        </is>
      </c>
      <c r="B41" s="9" t="inlineStr">
        <is>
          <t>89673845cda2d5af</t>
        </is>
      </c>
      <c r="C41" s="9" t="n">
        <v>36</v>
      </c>
    </row>
    <row r="42">
      <c r="A42" s="9" t="inlineStr">
        <is>
          <t>constituents_2026-06-30.csv</t>
        </is>
      </c>
      <c r="B42" s="9" t="inlineStr">
        <is>
          <t>38baa5ce6aede302</t>
        </is>
      </c>
      <c r="C42" s="9" t="n">
        <v>18</v>
      </c>
    </row>
    <row r="43">
      <c r="A43" s="9" t="inlineStr">
        <is>
          <t>weights_2026-03-31.csv</t>
        </is>
      </c>
      <c r="B43" s="9" t="inlineStr">
        <is>
          <t>7b382c2a0aadd5cc</t>
        </is>
      </c>
      <c r="C43" s="9" t="n">
        <v>15</v>
      </c>
    </row>
    <row r="44">
      <c r="A44" s="9" t="inlineStr">
        <is>
          <t>index_vs_benchmark.csv</t>
        </is>
      </c>
      <c r="B44" s="9" t="inlineStr">
        <is>
          <t>f188f3f5fb5a7a75</t>
        </is>
      </c>
      <c r="C44" s="9" t="n">
        <v>59</v>
      </c>
    </row>
    <row r="45">
      <c r="A45" s="9" t="inlineStr">
        <is>
          <t>calendar.csv</t>
        </is>
      </c>
      <c r="B45" s="9" t="inlineStr">
        <is>
          <t>3cbb2c8d960a3c7a</t>
        </is>
      </c>
      <c r="C45" s="9" t="n">
        <v>392</v>
      </c>
    </row>
    <row r="46">
      <c r="A46" s="9" t="inlineStr">
        <is>
          <t>fx.csv</t>
        </is>
      </c>
      <c r="B46" s="9" t="inlineStr">
        <is>
          <t>ef833251ecf38c06</t>
        </is>
      </c>
      <c r="C46" s="9" t="n">
        <v>181</v>
      </c>
    </row>
    <row r="47">
      <c r="A47" s="4" t="inlineStr">
        <is>
          <t>※ 나중에 산출물이 바뀌면 이 지문이 달라집니다. 검산 결과가 어느 버전에 대한 것인지 이것으로 특정합니다.</t>
        </is>
      </c>
    </row>
    <row r="49">
      <c r="A49" s="7" t="inlineStr">
        <is>
          <t>작성자 기록</t>
        </is>
      </c>
    </row>
    <row r="50">
      <c r="A50" s="9" t="inlineStr">
        <is>
          <t>작성자</t>
        </is>
      </c>
      <c r="B50" s="11" t="n"/>
    </row>
    <row r="51">
      <c r="A51" s="9" t="inlineStr">
        <is>
          <t>시작 일시</t>
        </is>
      </c>
      <c r="B51" s="11" t="n"/>
    </row>
    <row r="52">
      <c r="A52" s="9" t="inlineStr">
        <is>
          <t>완료 일시</t>
        </is>
      </c>
      <c r="B52" s="11" t="n"/>
    </row>
    <row r="53">
      <c r="A53" s="9" t="inlineStr">
        <is>
          <t>봉인 개봉 일시</t>
        </is>
      </c>
      <c r="B53" s="11" t="n"/>
    </row>
    <row r="54">
      <c r="A54" s="9" t="inlineStr">
        <is>
          <t>사용한 도구(엑셀/계산기 등)</t>
        </is>
      </c>
      <c r="B54" s="11" t="n"/>
    </row>
  </sheetData>
  <mergeCells count="21">
    <mergeCell ref="A9:H9"/>
    <mergeCell ref="A15:H15"/>
    <mergeCell ref="B53:D53"/>
    <mergeCell ref="A6:H6"/>
    <mergeCell ref="A7:H7"/>
    <mergeCell ref="A25:H25"/>
    <mergeCell ref="A16:H16"/>
    <mergeCell ref="A27:H27"/>
    <mergeCell ref="B51:D51"/>
    <mergeCell ref="A12:H12"/>
    <mergeCell ref="A26:H26"/>
    <mergeCell ref="B50:D50"/>
    <mergeCell ref="A14:H14"/>
    <mergeCell ref="A47:H47"/>
    <mergeCell ref="A5:H5"/>
    <mergeCell ref="A8:H8"/>
    <mergeCell ref="B54:D54"/>
    <mergeCell ref="A4:H4"/>
    <mergeCell ref="A10:H10"/>
    <mergeCell ref="A13:H13"/>
    <mergeCell ref="B52:D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6" customWidth="1" min="3" max="3"/>
    <col width="26" customWidth="1" min="4" max="4"/>
    <col width="34" customWidth="1" min="5" max="5"/>
  </cols>
  <sheetData>
    <row r="1" ht="24" customHeight="1">
      <c r="A1" s="1" t="inlineStr">
        <is>
          <t>무엇을 어떤 순서로 검산하는가</t>
        </is>
      </c>
    </row>
    <row r="2">
      <c r="A2" s="2" t="inlineStr">
        <is>
          <t>각 시트는 앞 시트의 결과를 이어받는다. 순서대로 진행하십시오.</t>
        </is>
      </c>
    </row>
    <row r="4">
      <c r="A4" s="8" t="inlineStr">
        <is>
          <t>시트</t>
        </is>
      </c>
      <c r="B4" s="8" t="inlineStr">
        <is>
          <t>검산 대상</t>
        </is>
      </c>
      <c r="C4" s="8" t="inlineStr">
        <is>
          <t>사람이 하는 일</t>
        </is>
      </c>
      <c r="D4" s="8" t="inlineStr">
        <is>
          <t>근거 조항</t>
        </is>
      </c>
      <c r="E4" s="8" t="inlineStr">
        <is>
          <t>왜 이걸 고르는가</t>
        </is>
      </c>
    </row>
    <row r="5" ht="30" customHeight="1">
      <c r="A5" s="14" t="inlineStr">
        <is>
          <t>02</t>
        </is>
      </c>
      <c r="B5" s="9" t="inlineStr">
        <is>
          <t>자료마감일</t>
        </is>
      </c>
      <c r="C5" s="15" t="inlineStr">
        <is>
          <t>선정일에서 공통 개장일 5거래일을 역산</t>
        </is>
      </c>
      <c r="D5" s="9" t="inlineStr">
        <is>
          <t>룰북 §5.2 · D-13 ⑧</t>
        </is>
      </c>
      <c r="E5" s="15" t="inlineStr">
        <is>
          <t>미래 정보 차단(PIT)의 출발점. 여기가 틀리면 전부 틀린다.</t>
        </is>
      </c>
    </row>
    <row r="6" ht="30" customHeight="1">
      <c r="A6" s="14" t="inlineStr">
        <is>
          <t>03</t>
        </is>
      </c>
      <c r="B6" s="9" t="inlineStr">
        <is>
          <t>일별 거래대금</t>
        </is>
      </c>
      <c r="C6" s="15" t="inlineStr">
        <is>
          <t>미국 종목의 종가×거래량 재구성</t>
        </is>
      </c>
      <c r="D6" s="9" t="inlineStr">
        <is>
          <t>룰북 제59조 · D-13 ②</t>
        </is>
      </c>
      <c r="E6" s="15" t="inlineStr">
        <is>
          <t>한국은 거래소가 주고 미국은 우리가 만든다. 만드는 쪽을 검산한다.</t>
        </is>
      </c>
    </row>
    <row r="7" ht="30" customHeight="1">
      <c r="A7" s="14" t="inlineStr">
        <is>
          <t>04</t>
        </is>
      </c>
      <c r="B7" s="9" t="inlineStr">
        <is>
          <t>ADTV90</t>
        </is>
      </c>
      <c r="C7" s="15" t="inlineStr">
        <is>
          <t>90개장일 평균. 정지일은 0으로 넣고 분모는 90</t>
        </is>
      </c>
      <c r="D7" s="9" t="inlineStr">
        <is>
          <t>룰북 §8.1 · D-13 ①</t>
        </is>
      </c>
      <c r="E7" s="15" t="inlineStr">
        <is>
          <t>결측과 무거래를 같은 0으로 합치지 않는지 확인한다.</t>
        </is>
      </c>
    </row>
    <row r="8" ht="30" customHeight="1">
      <c r="A8" s="14" t="inlineStr">
        <is>
          <t>05</t>
        </is>
      </c>
      <c r="B8" s="9" t="inlineStr">
        <is>
          <t>P10 · 편입판정</t>
        </is>
      </c>
      <c r="C8" s="15" t="inlineStr">
        <is>
          <t>8개 값을 정렬하고 선형보간으로 10퍼센타일</t>
        </is>
      </c>
      <c r="D8" s="9" t="inlineStr">
        <is>
          <t>룰북 §8.1 · §9</t>
        </is>
      </c>
      <c r="E8" s="15" t="inlineStr">
        <is>
          <t>경계사례가 실제로 갈리는 지점. 구조 문제도 여기서 보인다.</t>
        </is>
      </c>
    </row>
    <row r="9" ht="30" customHeight="1">
      <c r="A9" s="14" t="inlineStr">
        <is>
          <t>06</t>
        </is>
      </c>
      <c r="B9" s="9" t="inlineStr">
        <is>
          <t>목표비중</t>
        </is>
      </c>
      <c r="C9" s="15" t="inlineStr">
        <is>
          <t>3테마×2지역 6셀에 1/6씩, 셀 안은 균등</t>
        </is>
      </c>
      <c r="D9" s="9" t="inlineStr">
        <is>
          <t>D-04 ② · D-10 ①②</t>
        </is>
      </c>
      <c r="E9" s="15" t="inlineStr">
        <is>
          <t>합이 정확히 1이 되는지, 셀 집중도가 어떻게 되는지.</t>
        </is>
      </c>
    </row>
    <row r="10" ht="30" customHeight="1">
      <c r="A10" s="14" t="inlineStr">
        <is>
          <t>07</t>
        </is>
      </c>
      <c r="B10" s="9" t="inlineStr">
        <is>
          <t>지수 레벨</t>
        </is>
      </c>
      <c r="C10" s="15" t="inlineStr">
        <is>
          <t>기준일 대비 가중 수익률 합</t>
        </is>
      </c>
      <c r="D10" s="9" t="inlineStr">
        <is>
          <t>룰북 §13 · D-08</t>
        </is>
      </c>
      <c r="E10" s="15" t="inlineStr">
        <is>
          <t>최종 산출물. 여기까지 맞으면 파이프라인 전체가 맞다.</t>
        </is>
      </c>
    </row>
    <row r="11" ht="30" customHeight="1">
      <c r="A11" s="14" t="inlineStr">
        <is>
          <t>08</t>
        </is>
      </c>
      <c r="B11" s="9" t="inlineStr">
        <is>
          <t>분할 효과</t>
        </is>
      </c>
      <c r="C11" s="15" t="inlineStr">
        <is>
          <t>010120을 5:1 반영했을 때와 아닐 때의 차이</t>
        </is>
      </c>
      <c r="D11" s="9" t="inlineStr">
        <is>
          <t>데이터사전 4.1 · D-07</t>
        </is>
      </c>
      <c r="E11" s="15" t="inlineStr">
        <is>
          <t>성과 숫자가 왜 6.66%p 틀렸는지 직접 확인한다.</t>
        </is>
      </c>
    </row>
    <row r="13">
      <c r="A13" s="3" t="inlineStr">
        <is>
          <t>■ 표본을 이렇게 고른 이유 (룰북 §18.2 — 경계사례를 포함할 것)</t>
        </is>
      </c>
    </row>
    <row r="14">
      <c r="A14" s="4" t="inlineStr">
        <is>
          <t xml:space="preserve">  ADTV90 대상 KTOS: 미국 종목이라 거래대금을 우리가 재구성한다. 그리고 분포의 최솟값이라 편입 판정이 실제로 갈린다.</t>
        </is>
      </c>
    </row>
    <row r="15">
      <c r="A15" s="4" t="inlineStr">
        <is>
          <t xml:space="preserve">  기업행사 010120: 파일럿 구간의 유일한 기업행사이고, 거래정지 3일과 분할이 겹쳐 있다.</t>
        </is>
      </c>
    </row>
    <row r="16">
      <c r="A16" s="4" t="inlineStr">
        <is>
          <t xml:space="preserve">  회차 2026-06-30: 3/31 회차는 전 종목이 여유롭게 통과해 경계가 없다. 6/30이 검산 가치가 있다.</t>
        </is>
      </c>
    </row>
  </sheetData>
  <mergeCells count="4">
    <mergeCell ref="A16:E16"/>
    <mergeCell ref="A15:E15"/>
    <mergeCell ref="A13:E1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  <col width="30" customWidth="1" min="7" max="7"/>
  </cols>
  <sheetData>
    <row r="1" ht="24" customHeight="1">
      <c r="A1" s="1" t="inlineStr">
        <is>
          <t>자료마감일 — 선정일 이전 제5거래일</t>
        </is>
      </c>
    </row>
    <row r="2">
      <c r="A2" s="2" t="inlineStr">
        <is>
          <t>룰북 §5.2 · D-13 ⑧ · 축은 한·미 공통 개장일</t>
        </is>
      </c>
    </row>
    <row r="4">
      <c r="A4" s="3" t="inlineStr">
        <is>
          <t>■ 규칙</t>
        </is>
      </c>
    </row>
    <row r="5">
      <c r="A5" s="4" t="inlineStr">
        <is>
          <t xml:space="preserve">  선정일 당일은 세지 않습니다. 선정일 바로 앞 개장일이 1거래일 전입니다.</t>
        </is>
      </c>
    </row>
    <row r="6">
      <c r="A6" s="4" t="inlineStr">
        <is>
          <t xml:space="preserve">  한국과 미국이 모두 열린 날만 셉니다. 한쪽만 열린 날은 건너뜁니다.</t>
        </is>
      </c>
    </row>
    <row r="7">
      <c r="A7" s="3" t="inlineStr"/>
    </row>
    <row r="8">
      <c r="A8" s="3" t="inlineStr">
        <is>
          <t>■ 할 일 — 선정일 2026-06-30 에서 5거래일 앞으로 세어 자료마감일을 구하십시오.</t>
        </is>
      </c>
    </row>
    <row r="10">
      <c r="A10" s="7" t="inlineStr">
        <is>
          <t>달력 — 선정일 부근 (공통 개장일만 추린 것이 아니라 원본 그대로입니다)</t>
        </is>
      </c>
    </row>
    <row r="11">
      <c r="A11" s="8" t="inlineStr"/>
      <c r="B11" s="8" t="inlineStr">
        <is>
          <t>날짜</t>
        </is>
      </c>
      <c r="C11" s="8" t="inlineStr">
        <is>
          <t>한국 개장</t>
        </is>
      </c>
      <c r="D11" s="8" t="inlineStr">
        <is>
          <t>미국 개장</t>
        </is>
      </c>
      <c r="E11" s="8" t="inlineStr">
        <is>
          <t>공통 개장일?</t>
        </is>
      </c>
      <c r="F11" s="8" t="inlineStr">
        <is>
          <t>며칠 전?</t>
        </is>
      </c>
      <c r="G11" s="8" t="inlineStr">
        <is>
          <t>메모</t>
        </is>
      </c>
    </row>
    <row r="12">
      <c r="A12" s="14" t="n">
        <v>1</v>
      </c>
      <c r="B12" s="9" t="inlineStr">
        <is>
          <t>2026-06-15</t>
        </is>
      </c>
      <c r="C12" s="14" t="inlineStr">
        <is>
          <t>O</t>
        </is>
      </c>
      <c r="D12" s="14" t="inlineStr">
        <is>
          <t>O</t>
        </is>
      </c>
      <c r="E12" s="16" t="n"/>
      <c r="F12" s="16" t="n"/>
      <c r="G12" s="11" t="n"/>
    </row>
    <row r="13">
      <c r="A13" s="14" t="n">
        <v>2</v>
      </c>
      <c r="B13" s="9" t="inlineStr">
        <is>
          <t>2026-06-16</t>
        </is>
      </c>
      <c r="C13" s="14" t="inlineStr">
        <is>
          <t>O</t>
        </is>
      </c>
      <c r="D13" s="14" t="inlineStr">
        <is>
          <t>O</t>
        </is>
      </c>
      <c r="E13" s="16" t="n"/>
      <c r="F13" s="16" t="n"/>
      <c r="G13" s="11" t="n"/>
    </row>
    <row r="14">
      <c r="A14" s="14" t="n">
        <v>3</v>
      </c>
      <c r="B14" s="9" t="inlineStr">
        <is>
          <t>2026-06-17</t>
        </is>
      </c>
      <c r="C14" s="14" t="inlineStr">
        <is>
          <t>O</t>
        </is>
      </c>
      <c r="D14" s="14" t="inlineStr">
        <is>
          <t>O</t>
        </is>
      </c>
      <c r="E14" s="16" t="n"/>
      <c r="F14" s="16" t="n"/>
      <c r="G14" s="11" t="n"/>
    </row>
    <row r="15">
      <c r="A15" s="14" t="n">
        <v>4</v>
      </c>
      <c r="B15" s="9" t="inlineStr">
        <is>
          <t>2026-06-18</t>
        </is>
      </c>
      <c r="C15" s="14" t="inlineStr">
        <is>
          <t>O</t>
        </is>
      </c>
      <c r="D15" s="14" t="inlineStr">
        <is>
          <t>O</t>
        </is>
      </c>
      <c r="E15" s="16" t="n"/>
      <c r="F15" s="16" t="n"/>
      <c r="G15" s="11" t="n"/>
    </row>
    <row r="16">
      <c r="A16" s="14" t="n">
        <v>5</v>
      </c>
      <c r="B16" s="9" t="inlineStr">
        <is>
          <t>2026-06-19</t>
        </is>
      </c>
      <c r="C16" s="14" t="inlineStr">
        <is>
          <t>O</t>
        </is>
      </c>
      <c r="D16" s="14" t="inlineStr">
        <is>
          <t>-</t>
        </is>
      </c>
      <c r="E16" s="16" t="n"/>
      <c r="F16" s="16" t="n"/>
      <c r="G16" s="11" t="n"/>
    </row>
    <row r="17">
      <c r="A17" s="14" t="n">
        <v>6</v>
      </c>
      <c r="B17" s="9" t="inlineStr">
        <is>
          <t>2026-06-22</t>
        </is>
      </c>
      <c r="C17" s="14" t="inlineStr">
        <is>
          <t>O</t>
        </is>
      </c>
      <c r="D17" s="14" t="inlineStr">
        <is>
          <t>O</t>
        </is>
      </c>
      <c r="E17" s="16" t="n"/>
      <c r="F17" s="16" t="n"/>
      <c r="G17" s="11" t="n"/>
    </row>
    <row r="18">
      <c r="A18" s="14" t="n">
        <v>7</v>
      </c>
      <c r="B18" s="9" t="inlineStr">
        <is>
          <t>2026-06-23</t>
        </is>
      </c>
      <c r="C18" s="14" t="inlineStr">
        <is>
          <t>O</t>
        </is>
      </c>
      <c r="D18" s="14" t="inlineStr">
        <is>
          <t>O</t>
        </is>
      </c>
      <c r="E18" s="16" t="n"/>
      <c r="F18" s="16" t="n"/>
      <c r="G18" s="11" t="n"/>
    </row>
    <row r="19">
      <c r="A19" s="14" t="n">
        <v>8</v>
      </c>
      <c r="B19" s="9" t="inlineStr">
        <is>
          <t>2026-06-24</t>
        </is>
      </c>
      <c r="C19" s="14" t="inlineStr">
        <is>
          <t>O</t>
        </is>
      </c>
      <c r="D19" s="14" t="inlineStr">
        <is>
          <t>O</t>
        </is>
      </c>
      <c r="E19" s="16" t="n"/>
      <c r="F19" s="16" t="n"/>
      <c r="G19" s="11" t="n"/>
    </row>
    <row r="20">
      <c r="A20" s="14" t="n">
        <v>9</v>
      </c>
      <c r="B20" s="9" t="inlineStr">
        <is>
          <t>2026-06-25</t>
        </is>
      </c>
      <c r="C20" s="14" t="inlineStr">
        <is>
          <t>O</t>
        </is>
      </c>
      <c r="D20" s="14" t="inlineStr">
        <is>
          <t>O</t>
        </is>
      </c>
      <c r="E20" s="16" t="n"/>
      <c r="F20" s="16" t="n"/>
      <c r="G20" s="11" t="n"/>
    </row>
    <row r="21">
      <c r="A21" s="14" t="n">
        <v>10</v>
      </c>
      <c r="B21" s="9" t="inlineStr">
        <is>
          <t>2026-06-26</t>
        </is>
      </c>
      <c r="C21" s="14" t="inlineStr">
        <is>
          <t>O</t>
        </is>
      </c>
      <c r="D21" s="14" t="inlineStr">
        <is>
          <t>O</t>
        </is>
      </c>
      <c r="E21" s="16" t="n"/>
      <c r="F21" s="16" t="n"/>
      <c r="G21" s="11" t="n"/>
    </row>
    <row r="22">
      <c r="A22" s="14" t="n">
        <v>11</v>
      </c>
      <c r="B22" s="9" t="inlineStr">
        <is>
          <t>2026-06-29</t>
        </is>
      </c>
      <c r="C22" s="14" t="inlineStr">
        <is>
          <t>O</t>
        </is>
      </c>
      <c r="D22" s="14" t="inlineStr">
        <is>
          <t>O</t>
        </is>
      </c>
      <c r="E22" s="16" t="n"/>
      <c r="F22" s="16" t="n"/>
      <c r="G22" s="11" t="n"/>
    </row>
    <row r="23">
      <c r="A23" s="14" t="n">
        <v>12</v>
      </c>
      <c r="B23" s="9" t="inlineStr">
        <is>
          <t>2026-06-30</t>
        </is>
      </c>
      <c r="C23" s="14" t="inlineStr">
        <is>
          <t>O</t>
        </is>
      </c>
      <c r="D23" s="14" t="inlineStr">
        <is>
          <t>O</t>
        </is>
      </c>
      <c r="E23" s="16" t="n"/>
      <c r="F23" s="16" t="n"/>
      <c r="G23" s="11" t="n"/>
    </row>
    <row r="25">
      <c r="A25" s="7" t="inlineStr">
        <is>
          <t>답</t>
        </is>
      </c>
    </row>
    <row r="26">
      <c r="A26" s="9" t="inlineStr">
        <is>
          <t>자료마감일</t>
        </is>
      </c>
      <c r="B26" s="12" t="n"/>
      <c r="D26" s="17" t="inlineStr">
        <is>
          <t>← 이 값을 08 대조표로 옮깁니다</t>
        </is>
      </c>
    </row>
    <row r="28">
      <c r="A28" s="5" t="inlineStr">
        <is>
          <t>■ 틀리기 쉬운 곳</t>
        </is>
      </c>
    </row>
    <row r="29">
      <c r="A29" s="6" t="inlineStr">
        <is>
          <t xml:space="preserve">  선정일을 1거래일 전으로 세면 하루 밀립니다. 선정일 다음이 아니라 그 앞이 1거래일 전입니다.</t>
        </is>
      </c>
    </row>
    <row r="30">
      <c r="A30" s="6" t="inlineStr">
        <is>
          <t xml:space="preserve">  한쪽 시장만 열린 날을 세면 결과가 달라집니다. 실제로 이 구간에 그런 날이 있는지 확인해 보십시오.</t>
        </is>
      </c>
    </row>
  </sheetData>
  <mergeCells count="9">
    <mergeCell ref="A8:G8"/>
    <mergeCell ref="A28:G28"/>
    <mergeCell ref="A6:G6"/>
    <mergeCell ref="A4:G4"/>
    <mergeCell ref="A30:G30"/>
    <mergeCell ref="A29:G29"/>
    <mergeCell ref="A7:G7"/>
    <mergeCell ref="B26:C26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26" customWidth="1" min="7" max="7"/>
  </cols>
  <sheetData>
    <row r="1" ht="24" customHeight="1">
      <c r="A1" s="1" t="inlineStr">
        <is>
          <t>KTOS 의 ADTV90 — 90개장일 평균 거래대금</t>
        </is>
      </c>
    </row>
    <row r="2">
      <c r="A2" s="2" t="inlineStr">
        <is>
          <t>룰북 제59조(거래대금 원천) · §8.1(ADTV90) · D-13 ①(정지일 0 반영)</t>
        </is>
      </c>
    </row>
    <row r="4">
      <c r="A4" s="3" t="inlineStr">
        <is>
          <t>■ 규칙 두 가지</t>
        </is>
      </c>
    </row>
    <row r="5">
      <c r="A5" s="4" t="inlineStr">
        <is>
          <t xml:space="preserve">  ① 거래대금: 한국은 거래소가 제공한 값을 그대로 씁니다. 미국은 제공값이 없어 종가 × 거래량으로 재구성합니다.</t>
        </is>
      </c>
    </row>
    <row r="6">
      <c r="A6" s="4" t="inlineStr">
        <is>
          <t xml:space="preserve">     KTOS는 미국 종목이므로 재구성 대상입니다. D열을 직접 계산하십시오.</t>
        </is>
      </c>
    </row>
    <row r="7">
      <c r="A7" s="4" t="inlineStr">
        <is>
          <t xml:space="preserve">  ② 평균: 관측창은 자료마감일부터 뒤로 90 개장일입니다. 거래정지일은 0으로 넣고 분모에서 빼지 않습니다(분모 90).</t>
        </is>
      </c>
    </row>
    <row r="8">
      <c r="A8" s="4" t="inlineStr">
        <is>
          <t xml:space="preserve">     결측(자료를 못 구한 날)은 다릅니다. 결측은 분모에서 뺍니다. 둘을 같은 0으로 합치면 안 됩니다.</t>
        </is>
      </c>
    </row>
    <row r="10">
      <c r="A10" s="7" t="inlineStr">
        <is>
          <t>원자료 — 2026-02-12 ~ 2026-06-23 (미국 개장일 90일)</t>
        </is>
      </c>
    </row>
    <row r="11">
      <c r="A11" s="8" t="inlineStr"/>
      <c r="B11" s="8" t="inlineStr">
        <is>
          <t>날짜</t>
        </is>
      </c>
      <c r="C11" s="8" t="inlineStr">
        <is>
          <t>종가(USD)</t>
        </is>
      </c>
      <c r="D11" s="8" t="inlineStr">
        <is>
          <t>거래량(주)</t>
        </is>
      </c>
      <c r="E11" s="8" t="inlineStr">
        <is>
          <t>거래대금(직접 계산)</t>
        </is>
      </c>
      <c r="F11" s="8" t="inlineStr">
        <is>
          <t>상태코드</t>
        </is>
      </c>
      <c r="G11" s="8" t="inlineStr">
        <is>
          <t>메모</t>
        </is>
      </c>
    </row>
    <row r="12">
      <c r="A12" s="14" t="n">
        <v>1</v>
      </c>
      <c r="B12" s="9" t="inlineStr">
        <is>
          <t>2026-02-12</t>
        </is>
      </c>
      <c r="C12" s="18" t="n">
        <v>87.05</v>
      </c>
      <c r="D12" s="19" t="n">
        <v>2276600</v>
      </c>
      <c r="E12" s="20" t="n"/>
      <c r="F12" s="14" t="inlineStr">
        <is>
          <t>TRADED</t>
        </is>
      </c>
      <c r="G12" s="11" t="n"/>
    </row>
    <row r="13">
      <c r="A13" s="14" t="n">
        <v>2</v>
      </c>
      <c r="B13" s="9" t="inlineStr">
        <is>
          <t>2026-02-13</t>
        </is>
      </c>
      <c r="C13" s="18" t="n">
        <v>89.06</v>
      </c>
      <c r="D13" s="19" t="n">
        <v>1769100</v>
      </c>
      <c r="E13" s="20" t="n"/>
      <c r="F13" s="14" t="inlineStr">
        <is>
          <t>TRADED</t>
        </is>
      </c>
      <c r="G13" s="11" t="n"/>
    </row>
    <row r="14">
      <c r="A14" s="14" t="n">
        <v>3</v>
      </c>
      <c r="B14" s="9" t="inlineStr">
        <is>
          <t>2026-02-17</t>
        </is>
      </c>
      <c r="C14" s="18" t="n">
        <v>91.97</v>
      </c>
      <c r="D14" s="19" t="n">
        <v>2405800</v>
      </c>
      <c r="E14" s="20" t="n"/>
      <c r="F14" s="14" t="inlineStr">
        <is>
          <t>TRADED</t>
        </is>
      </c>
      <c r="G14" s="11" t="n"/>
    </row>
    <row r="15">
      <c r="A15" s="14" t="n">
        <v>4</v>
      </c>
      <c r="B15" s="9" t="inlineStr">
        <is>
          <t>2026-02-18</t>
        </is>
      </c>
      <c r="C15" s="18" t="n">
        <v>97.20999999999999</v>
      </c>
      <c r="D15" s="19" t="n">
        <v>3657600</v>
      </c>
      <c r="E15" s="20" t="n"/>
      <c r="F15" s="14" t="inlineStr">
        <is>
          <t>TRADED</t>
        </is>
      </c>
      <c r="G15" s="11" t="n"/>
    </row>
    <row r="16">
      <c r="A16" s="14" t="n">
        <v>5</v>
      </c>
      <c r="B16" s="9" t="inlineStr">
        <is>
          <t>2026-02-19</t>
        </is>
      </c>
      <c r="C16" s="18" t="n">
        <v>105.67</v>
      </c>
      <c r="D16" s="19" t="n">
        <v>5176800</v>
      </c>
      <c r="E16" s="20" t="n"/>
      <c r="F16" s="14" t="inlineStr">
        <is>
          <t>TRADED</t>
        </is>
      </c>
      <c r="G16" s="11" t="n"/>
    </row>
    <row r="17">
      <c r="A17" s="14" t="n">
        <v>6</v>
      </c>
      <c r="B17" s="9" t="inlineStr">
        <is>
          <t>2026-02-20</t>
        </is>
      </c>
      <c r="C17" s="18" t="n">
        <v>96.08</v>
      </c>
      <c r="D17" s="19" t="n">
        <v>4631600</v>
      </c>
      <c r="E17" s="20" t="n"/>
      <c r="F17" s="14" t="inlineStr">
        <is>
          <t>TRADED</t>
        </is>
      </c>
      <c r="G17" s="11" t="n"/>
    </row>
    <row r="18">
      <c r="A18" s="14" t="n">
        <v>7</v>
      </c>
      <c r="B18" s="9" t="inlineStr">
        <is>
          <t>2026-02-23</t>
        </is>
      </c>
      <c r="C18" s="18" t="n">
        <v>94.31</v>
      </c>
      <c r="D18" s="19" t="n">
        <v>3365100</v>
      </c>
      <c r="E18" s="20" t="n"/>
      <c r="F18" s="14" t="inlineStr">
        <is>
          <t>TRADED</t>
        </is>
      </c>
      <c r="G18" s="11" t="n"/>
    </row>
    <row r="19">
      <c r="A19" s="14" t="n">
        <v>8</v>
      </c>
      <c r="B19" s="9" t="inlineStr">
        <is>
          <t>2026-02-24</t>
        </is>
      </c>
      <c r="C19" s="18" t="n">
        <v>90.68000000000001</v>
      </c>
      <c r="D19" s="19" t="n">
        <v>6008700</v>
      </c>
      <c r="E19" s="20" t="n"/>
      <c r="F19" s="14" t="inlineStr">
        <is>
          <t>TRADED</t>
        </is>
      </c>
      <c r="G19" s="11" t="n"/>
    </row>
    <row r="20">
      <c r="A20" s="14" t="n">
        <v>9</v>
      </c>
      <c r="B20" s="9" t="inlineStr">
        <is>
          <t>2026-02-25</t>
        </is>
      </c>
      <c r="C20" s="18" t="n">
        <v>88.23</v>
      </c>
      <c r="D20" s="19" t="n">
        <v>2349900</v>
      </c>
      <c r="E20" s="20" t="n"/>
      <c r="F20" s="14" t="inlineStr">
        <is>
          <t>TRADED</t>
        </is>
      </c>
      <c r="G20" s="11" t="n"/>
    </row>
    <row r="21">
      <c r="A21" s="14" t="n">
        <v>10</v>
      </c>
      <c r="B21" s="9" t="inlineStr">
        <is>
          <t>2026-02-26</t>
        </is>
      </c>
      <c r="C21" s="18" t="n">
        <v>92.14</v>
      </c>
      <c r="D21" s="19" t="n">
        <v>2605000</v>
      </c>
      <c r="E21" s="20" t="n"/>
      <c r="F21" s="14" t="inlineStr">
        <is>
          <t>TRADED</t>
        </is>
      </c>
      <c r="G21" s="11" t="n"/>
    </row>
    <row r="22">
      <c r="A22" s="14" t="n">
        <v>11</v>
      </c>
      <c r="B22" s="9" t="inlineStr">
        <is>
          <t>2026-02-27</t>
        </is>
      </c>
      <c r="C22" s="18" t="n">
        <v>86.18000000000001</v>
      </c>
      <c r="D22" s="19" t="n">
        <v>13317900</v>
      </c>
      <c r="E22" s="20" t="n"/>
      <c r="F22" s="14" t="inlineStr">
        <is>
          <t>TRADED</t>
        </is>
      </c>
      <c r="G22" s="11" t="n"/>
    </row>
    <row r="23">
      <c r="A23" s="14" t="n">
        <v>12</v>
      </c>
      <c r="B23" s="9" t="inlineStr">
        <is>
          <t>2026-03-02</t>
        </is>
      </c>
      <c r="C23" s="18" t="n">
        <v>90.72</v>
      </c>
      <c r="D23" s="19" t="n">
        <v>18913800</v>
      </c>
      <c r="E23" s="20" t="n"/>
      <c r="F23" s="14" t="inlineStr">
        <is>
          <t>TRADED</t>
        </is>
      </c>
      <c r="G23" s="11" t="n"/>
    </row>
    <row r="24">
      <c r="A24" s="14" t="n">
        <v>13</v>
      </c>
      <c r="B24" s="9" t="inlineStr">
        <is>
          <t>2026-03-03</t>
        </is>
      </c>
      <c r="C24" s="18" t="n">
        <v>88.95</v>
      </c>
      <c r="D24" s="19" t="n">
        <v>8315500</v>
      </c>
      <c r="E24" s="20" t="n"/>
      <c r="F24" s="14" t="inlineStr">
        <is>
          <t>TRADED</t>
        </is>
      </c>
      <c r="G24" s="11" t="n"/>
    </row>
    <row r="25">
      <c r="A25" s="14" t="n">
        <v>14</v>
      </c>
      <c r="B25" s="9" t="inlineStr">
        <is>
          <t>2026-03-04</t>
        </is>
      </c>
      <c r="C25" s="18" t="n">
        <v>89.13</v>
      </c>
      <c r="D25" s="19" t="n">
        <v>3335600</v>
      </c>
      <c r="E25" s="20" t="n"/>
      <c r="F25" s="14" t="inlineStr">
        <is>
          <t>TRADED</t>
        </is>
      </c>
      <c r="G25" s="11" t="n"/>
    </row>
    <row r="26">
      <c r="A26" s="14" t="n">
        <v>15</v>
      </c>
      <c r="B26" s="9" t="inlineStr">
        <is>
          <t>2026-03-05</t>
        </is>
      </c>
      <c r="C26" s="18" t="n">
        <v>85.54000000000001</v>
      </c>
      <c r="D26" s="19" t="n">
        <v>4592800</v>
      </c>
      <c r="E26" s="20" t="n"/>
      <c r="F26" s="14" t="inlineStr">
        <is>
          <t>TRADED</t>
        </is>
      </c>
      <c r="G26" s="11" t="n"/>
    </row>
    <row r="27">
      <c r="A27" s="14" t="n">
        <v>16</v>
      </c>
      <c r="B27" s="9" t="inlineStr">
        <is>
          <t>2026-03-06</t>
        </is>
      </c>
      <c r="C27" s="18" t="n">
        <v>87</v>
      </c>
      <c r="D27" s="19" t="n">
        <v>5385600</v>
      </c>
      <c r="E27" s="20" t="n"/>
      <c r="F27" s="14" t="inlineStr">
        <is>
          <t>TRADED</t>
        </is>
      </c>
      <c r="G27" s="11" t="n"/>
    </row>
    <row r="28">
      <c r="A28" s="14" t="n">
        <v>17</v>
      </c>
      <c r="B28" s="9" t="inlineStr">
        <is>
          <t>2026-03-09</t>
        </is>
      </c>
      <c r="C28" s="18" t="n">
        <v>92.47</v>
      </c>
      <c r="D28" s="19" t="n">
        <v>5256000</v>
      </c>
      <c r="E28" s="20" t="n"/>
      <c r="F28" s="14" t="inlineStr">
        <is>
          <t>TRADED</t>
        </is>
      </c>
      <c r="G28" s="11" t="n"/>
    </row>
    <row r="29">
      <c r="A29" s="14" t="n">
        <v>18</v>
      </c>
      <c r="B29" s="9" t="inlineStr">
        <is>
          <t>2026-03-10</t>
        </is>
      </c>
      <c r="C29" s="18" t="n">
        <v>88.95999999999999</v>
      </c>
      <c r="D29" s="19" t="n">
        <v>3299800</v>
      </c>
      <c r="E29" s="20" t="n"/>
      <c r="F29" s="14" t="inlineStr">
        <is>
          <t>TRADED</t>
        </is>
      </c>
      <c r="G29" s="11" t="n"/>
    </row>
    <row r="30">
      <c r="A30" s="14" t="n">
        <v>19</v>
      </c>
      <c r="B30" s="9" t="inlineStr">
        <is>
          <t>2026-03-11</t>
        </is>
      </c>
      <c r="C30" s="18" t="n">
        <v>88.92</v>
      </c>
      <c r="D30" s="19" t="n">
        <v>1946900</v>
      </c>
      <c r="E30" s="20" t="n"/>
      <c r="F30" s="14" t="inlineStr">
        <is>
          <t>TRADED</t>
        </is>
      </c>
      <c r="G30" s="11" t="n"/>
    </row>
    <row r="31">
      <c r="A31" s="14" t="n">
        <v>20</v>
      </c>
      <c r="B31" s="9" t="inlineStr">
        <is>
          <t>2026-03-12</t>
        </is>
      </c>
      <c r="C31" s="18" t="n">
        <v>89.45999999999999</v>
      </c>
      <c r="D31" s="19" t="n">
        <v>3941100</v>
      </c>
      <c r="E31" s="20" t="n"/>
      <c r="F31" s="14" t="inlineStr">
        <is>
          <t>TRADED</t>
        </is>
      </c>
      <c r="G31" s="11" t="n"/>
    </row>
    <row r="32">
      <c r="A32" s="14" t="n">
        <v>21</v>
      </c>
      <c r="B32" s="9" t="inlineStr">
        <is>
          <t>2026-03-13</t>
        </is>
      </c>
      <c r="C32" s="18" t="n">
        <v>87.53</v>
      </c>
      <c r="D32" s="19" t="n">
        <v>2754000</v>
      </c>
      <c r="E32" s="20" t="n"/>
      <c r="F32" s="14" t="inlineStr">
        <is>
          <t>TRADED</t>
        </is>
      </c>
      <c r="G32" s="11" t="n"/>
    </row>
    <row r="33">
      <c r="A33" s="14" t="n">
        <v>22</v>
      </c>
      <c r="B33" s="9" t="inlineStr">
        <is>
          <t>2026-03-16</t>
        </is>
      </c>
      <c r="C33" s="18" t="n">
        <v>89.53</v>
      </c>
      <c r="D33" s="19" t="n">
        <v>2424500</v>
      </c>
      <c r="E33" s="20" t="n"/>
      <c r="F33" s="14" t="inlineStr">
        <is>
          <t>TRADED</t>
        </is>
      </c>
      <c r="G33" s="11" t="n"/>
    </row>
    <row r="34">
      <c r="A34" s="14" t="n">
        <v>23</v>
      </c>
      <c r="B34" s="9" t="inlineStr">
        <is>
          <t>2026-03-17</t>
        </is>
      </c>
      <c r="C34" s="18" t="n">
        <v>95.31</v>
      </c>
      <c r="D34" s="19" t="n">
        <v>3273700</v>
      </c>
      <c r="E34" s="20" t="n"/>
      <c r="F34" s="14" t="inlineStr">
        <is>
          <t>TRADED</t>
        </is>
      </c>
      <c r="G34" s="11" t="n"/>
    </row>
    <row r="35">
      <c r="A35" s="14" t="n">
        <v>24</v>
      </c>
      <c r="B35" s="9" t="inlineStr">
        <is>
          <t>2026-03-18</t>
        </is>
      </c>
      <c r="C35" s="18" t="n">
        <v>93.04000000000001</v>
      </c>
      <c r="D35" s="19" t="n">
        <v>2846900</v>
      </c>
      <c r="E35" s="20" t="n"/>
      <c r="F35" s="14" t="inlineStr">
        <is>
          <t>TRADED</t>
        </is>
      </c>
      <c r="G35" s="11" t="n"/>
    </row>
    <row r="36">
      <c r="A36" s="14" t="n">
        <v>25</v>
      </c>
      <c r="B36" s="9" t="inlineStr">
        <is>
          <t>2026-03-19</t>
        </is>
      </c>
      <c r="C36" s="18" t="n">
        <v>92.78</v>
      </c>
      <c r="D36" s="19" t="n">
        <v>2404900</v>
      </c>
      <c r="E36" s="20" t="n"/>
      <c r="F36" s="14" t="inlineStr">
        <is>
          <t>TRADED</t>
        </is>
      </c>
      <c r="G36" s="11" t="n"/>
    </row>
    <row r="37">
      <c r="A37" s="14" t="n">
        <v>26</v>
      </c>
      <c r="B37" s="9" t="inlineStr">
        <is>
          <t>2026-03-20</t>
        </is>
      </c>
      <c r="C37" s="18" t="n">
        <v>84.62</v>
      </c>
      <c r="D37" s="19" t="n">
        <v>6896800</v>
      </c>
      <c r="E37" s="20" t="n"/>
      <c r="F37" s="14" t="inlineStr">
        <is>
          <t>TRADED</t>
        </is>
      </c>
      <c r="G37" s="11" t="n"/>
    </row>
    <row r="38">
      <c r="A38" s="14" t="n">
        <v>27</v>
      </c>
      <c r="B38" s="9" t="inlineStr">
        <is>
          <t>2026-03-23</t>
        </is>
      </c>
      <c r="C38" s="18" t="n">
        <v>83.69</v>
      </c>
      <c r="D38" s="19" t="n">
        <v>3198200</v>
      </c>
      <c r="E38" s="20" t="n"/>
      <c r="F38" s="14" t="inlineStr">
        <is>
          <t>TRADED</t>
        </is>
      </c>
      <c r="G38" s="11" t="n"/>
    </row>
    <row r="39">
      <c r="A39" s="14" t="n">
        <v>28</v>
      </c>
      <c r="B39" s="9" t="inlineStr">
        <is>
          <t>2026-03-24</t>
        </is>
      </c>
      <c r="C39" s="18" t="n">
        <v>77.48999999999999</v>
      </c>
      <c r="D39" s="19" t="n">
        <v>4535600</v>
      </c>
      <c r="E39" s="20" t="n"/>
      <c r="F39" s="14" t="inlineStr">
        <is>
          <t>TRADED</t>
        </is>
      </c>
      <c r="G39" s="11" t="n"/>
    </row>
    <row r="40">
      <c r="A40" s="14" t="n">
        <v>29</v>
      </c>
      <c r="B40" s="9" t="inlineStr">
        <is>
          <t>2026-03-25</t>
        </is>
      </c>
      <c r="C40" s="18" t="n">
        <v>79.98</v>
      </c>
      <c r="D40" s="19" t="n">
        <v>3950000</v>
      </c>
      <c r="E40" s="20" t="n"/>
      <c r="F40" s="14" t="inlineStr">
        <is>
          <t>TRADED</t>
        </is>
      </c>
      <c r="G40" s="11" t="n"/>
    </row>
    <row r="41">
      <c r="A41" s="14" t="n">
        <v>30</v>
      </c>
      <c r="B41" s="9" t="inlineStr">
        <is>
          <t>2026-03-26</t>
        </is>
      </c>
      <c r="C41" s="18" t="n">
        <v>75.86</v>
      </c>
      <c r="D41" s="19" t="n">
        <v>3024100</v>
      </c>
      <c r="E41" s="20" t="n"/>
      <c r="F41" s="14" t="inlineStr">
        <is>
          <t>TRADED</t>
        </is>
      </c>
      <c r="G41" s="11" t="n"/>
    </row>
    <row r="42">
      <c r="A42" s="14" t="n">
        <v>31</v>
      </c>
      <c r="B42" s="9" t="inlineStr">
        <is>
          <t>2026-03-27</t>
        </is>
      </c>
      <c r="C42" s="18" t="n">
        <v>71.94</v>
      </c>
      <c r="D42" s="19" t="n">
        <v>3186000</v>
      </c>
      <c r="E42" s="20" t="n"/>
      <c r="F42" s="14" t="inlineStr">
        <is>
          <t>TRADED</t>
        </is>
      </c>
      <c r="G42" s="11" t="n"/>
    </row>
    <row r="43">
      <c r="A43" s="14" t="n">
        <v>32</v>
      </c>
      <c r="B43" s="9" t="inlineStr">
        <is>
          <t>2026-03-30</t>
        </is>
      </c>
      <c r="C43" s="18" t="n">
        <v>65.28</v>
      </c>
      <c r="D43" s="19" t="n">
        <v>5501500</v>
      </c>
      <c r="E43" s="20" t="n"/>
      <c r="F43" s="14" t="inlineStr">
        <is>
          <t>TRADED</t>
        </is>
      </c>
      <c r="G43" s="11" t="n"/>
    </row>
    <row r="44">
      <c r="A44" s="14" t="n">
        <v>33</v>
      </c>
      <c r="B44" s="9" t="inlineStr">
        <is>
          <t>2026-03-31</t>
        </is>
      </c>
      <c r="C44" s="18" t="n">
        <v>70.51000000000001</v>
      </c>
      <c r="D44" s="19" t="n">
        <v>6105300</v>
      </c>
      <c r="E44" s="20" t="n"/>
      <c r="F44" s="14" t="inlineStr">
        <is>
          <t>TRADED</t>
        </is>
      </c>
      <c r="G44" s="11" t="n"/>
    </row>
    <row r="45">
      <c r="A45" s="14" t="n">
        <v>34</v>
      </c>
      <c r="B45" s="9" t="inlineStr">
        <is>
          <t>2026-04-01</t>
        </is>
      </c>
      <c r="C45" s="18" t="n">
        <v>67.7</v>
      </c>
      <c r="D45" s="19" t="n">
        <v>4421500</v>
      </c>
      <c r="E45" s="20" t="n"/>
      <c r="F45" s="14" t="inlineStr">
        <is>
          <t>TRADED</t>
        </is>
      </c>
      <c r="G45" s="11" t="n"/>
    </row>
    <row r="46">
      <c r="A46" s="14" t="n">
        <v>35</v>
      </c>
      <c r="B46" s="9" t="inlineStr">
        <is>
          <t>2026-04-02</t>
        </is>
      </c>
      <c r="C46" s="18" t="n">
        <v>67.31</v>
      </c>
      <c r="D46" s="19" t="n">
        <v>4392500</v>
      </c>
      <c r="E46" s="20" t="n"/>
      <c r="F46" s="14" t="inlineStr">
        <is>
          <t>TRADED</t>
        </is>
      </c>
      <c r="G46" s="11" t="n"/>
    </row>
    <row r="47">
      <c r="A47" s="14" t="n">
        <v>36</v>
      </c>
      <c r="B47" s="9" t="inlineStr">
        <is>
          <t>2026-04-06</t>
        </is>
      </c>
      <c r="C47" s="18" t="n">
        <v>74.09</v>
      </c>
      <c r="D47" s="19" t="n">
        <v>4140200</v>
      </c>
      <c r="E47" s="20" t="n"/>
      <c r="F47" s="14" t="inlineStr">
        <is>
          <t>TRADED</t>
        </is>
      </c>
      <c r="G47" s="11" t="n"/>
    </row>
    <row r="48">
      <c r="A48" s="14" t="n">
        <v>37</v>
      </c>
      <c r="B48" s="9" t="inlineStr">
        <is>
          <t>2026-04-07</t>
        </is>
      </c>
      <c r="C48" s="18" t="n">
        <v>71.95999999999999</v>
      </c>
      <c r="D48" s="19" t="n">
        <v>2886000</v>
      </c>
      <c r="E48" s="20" t="n"/>
      <c r="F48" s="14" t="inlineStr">
        <is>
          <t>TRADED</t>
        </is>
      </c>
      <c r="G48" s="11" t="n"/>
    </row>
    <row r="49">
      <c r="A49" s="14" t="n">
        <v>38</v>
      </c>
      <c r="B49" s="9" t="inlineStr">
        <is>
          <t>2026-04-08</t>
        </is>
      </c>
      <c r="C49" s="18" t="n">
        <v>74.45999999999999</v>
      </c>
      <c r="D49" s="19" t="n">
        <v>3692400</v>
      </c>
      <c r="E49" s="20" t="n"/>
      <c r="F49" s="14" t="inlineStr">
        <is>
          <t>TRADED</t>
        </is>
      </c>
      <c r="G49" s="11" t="n"/>
    </row>
    <row r="50">
      <c r="A50" s="14" t="n">
        <v>39</v>
      </c>
      <c r="B50" s="9" t="inlineStr">
        <is>
          <t>2026-04-09</t>
        </is>
      </c>
      <c r="C50" s="18" t="n">
        <v>68.33</v>
      </c>
      <c r="D50" s="19" t="n">
        <v>3788400</v>
      </c>
      <c r="E50" s="20" t="n"/>
      <c r="F50" s="14" t="inlineStr">
        <is>
          <t>TRADED</t>
        </is>
      </c>
      <c r="G50" s="11" t="n"/>
    </row>
    <row r="51">
      <c r="A51" s="14" t="n">
        <v>40</v>
      </c>
      <c r="B51" s="9" t="inlineStr">
        <is>
          <t>2026-04-10</t>
        </is>
      </c>
      <c r="C51" s="18" t="n">
        <v>70.34</v>
      </c>
      <c r="D51" s="19" t="n">
        <v>2887200</v>
      </c>
      <c r="E51" s="20" t="n"/>
      <c r="F51" s="14" t="inlineStr">
        <is>
          <t>TRADED</t>
        </is>
      </c>
      <c r="G51" s="11" t="n"/>
    </row>
    <row r="52">
      <c r="A52" s="14" t="n">
        <v>41</v>
      </c>
      <c r="B52" s="9" t="inlineStr">
        <is>
          <t>2026-04-13</t>
        </is>
      </c>
      <c r="C52" s="18" t="n">
        <v>73.55</v>
      </c>
      <c r="D52" s="19" t="n">
        <v>2564100</v>
      </c>
      <c r="E52" s="20" t="n"/>
      <c r="F52" s="14" t="inlineStr">
        <is>
          <t>TRADED</t>
        </is>
      </c>
      <c r="G52" s="11" t="n"/>
    </row>
    <row r="53">
      <c r="A53" s="14" t="n">
        <v>42</v>
      </c>
      <c r="B53" s="9" t="inlineStr">
        <is>
          <t>2026-04-14</t>
        </is>
      </c>
      <c r="C53" s="18" t="n">
        <v>73.66</v>
      </c>
      <c r="D53" s="19" t="n">
        <v>2586300</v>
      </c>
      <c r="E53" s="20" t="n"/>
      <c r="F53" s="14" t="inlineStr">
        <is>
          <t>TRADED</t>
        </is>
      </c>
      <c r="G53" s="11" t="n"/>
    </row>
    <row r="54">
      <c r="A54" s="14" t="n">
        <v>43</v>
      </c>
      <c r="B54" s="9" t="inlineStr">
        <is>
          <t>2026-04-15</t>
        </is>
      </c>
      <c r="C54" s="18" t="n">
        <v>74.66</v>
      </c>
      <c r="D54" s="19" t="n">
        <v>3502100</v>
      </c>
      <c r="E54" s="20" t="n"/>
      <c r="F54" s="14" t="inlineStr">
        <is>
          <t>TRADED</t>
        </is>
      </c>
      <c r="G54" s="11" t="n"/>
    </row>
    <row r="55">
      <c r="A55" s="14" t="n">
        <v>44</v>
      </c>
      <c r="B55" s="9" t="inlineStr">
        <is>
          <t>2026-04-16</t>
        </is>
      </c>
      <c r="C55" s="18" t="n">
        <v>74.41</v>
      </c>
      <c r="D55" s="19" t="n">
        <v>2421100</v>
      </c>
      <c r="E55" s="20" t="n"/>
      <c r="F55" s="14" t="inlineStr">
        <is>
          <t>TRADED</t>
        </is>
      </c>
      <c r="G55" s="11" t="n"/>
    </row>
    <row r="56">
      <c r="A56" s="14" t="n">
        <v>45</v>
      </c>
      <c r="B56" s="9" t="inlineStr">
        <is>
          <t>2026-04-17</t>
        </is>
      </c>
      <c r="C56" s="18" t="n">
        <v>70.98999999999999</v>
      </c>
      <c r="D56" s="19" t="n">
        <v>7158400</v>
      </c>
      <c r="E56" s="20" t="n"/>
      <c r="F56" s="14" t="inlineStr">
        <is>
          <t>TRADED</t>
        </is>
      </c>
      <c r="G56" s="11" t="n"/>
    </row>
    <row r="57">
      <c r="A57" s="14" t="n">
        <v>46</v>
      </c>
      <c r="B57" s="9" t="inlineStr">
        <is>
          <t>2026-04-20</t>
        </is>
      </c>
      <c r="C57" s="18" t="n">
        <v>69.83</v>
      </c>
      <c r="D57" s="19" t="n">
        <v>4159000</v>
      </c>
      <c r="E57" s="20" t="n"/>
      <c r="F57" s="14" t="inlineStr">
        <is>
          <t>TRADED</t>
        </is>
      </c>
      <c r="G57" s="11" t="n"/>
    </row>
    <row r="58">
      <c r="A58" s="14" t="n">
        <v>47</v>
      </c>
      <c r="B58" s="9" t="inlineStr">
        <is>
          <t>2026-04-21</t>
        </is>
      </c>
      <c r="C58" s="18" t="n">
        <v>68.55</v>
      </c>
      <c r="D58" s="19" t="n">
        <v>4180600</v>
      </c>
      <c r="E58" s="20" t="n"/>
      <c r="F58" s="14" t="inlineStr">
        <is>
          <t>TRADED</t>
        </is>
      </c>
      <c r="G58" s="11" t="n"/>
    </row>
    <row r="59">
      <c r="A59" s="14" t="n">
        <v>48</v>
      </c>
      <c r="B59" s="9" t="inlineStr">
        <is>
          <t>2026-04-22</t>
        </is>
      </c>
      <c r="C59" s="18" t="n">
        <v>68.61</v>
      </c>
      <c r="D59" s="19" t="n">
        <v>3093400</v>
      </c>
      <c r="E59" s="20" t="n"/>
      <c r="F59" s="14" t="inlineStr">
        <is>
          <t>TRADED</t>
        </is>
      </c>
      <c r="G59" s="11" t="n"/>
    </row>
    <row r="60">
      <c r="A60" s="14" t="n">
        <v>49</v>
      </c>
      <c r="B60" s="9" t="inlineStr">
        <is>
          <t>2026-04-23</t>
        </is>
      </c>
      <c r="C60" s="18" t="n">
        <v>65.52</v>
      </c>
      <c r="D60" s="19" t="n">
        <v>3904600</v>
      </c>
      <c r="E60" s="20" t="n"/>
      <c r="F60" s="14" t="inlineStr">
        <is>
          <t>TRADED</t>
        </is>
      </c>
      <c r="G60" s="11" t="n"/>
    </row>
    <row r="61">
      <c r="A61" s="14" t="n">
        <v>50</v>
      </c>
      <c r="B61" s="9" t="inlineStr">
        <is>
          <t>2026-04-24</t>
        </is>
      </c>
      <c r="C61" s="18" t="n">
        <v>61.26</v>
      </c>
      <c r="D61" s="19" t="n">
        <v>5132900</v>
      </c>
      <c r="E61" s="20" t="n"/>
      <c r="F61" s="14" t="inlineStr">
        <is>
          <t>TRADED</t>
        </is>
      </c>
      <c r="G61" s="11" t="n"/>
    </row>
    <row r="62">
      <c r="A62" s="14" t="n">
        <v>51</v>
      </c>
      <c r="B62" s="9" t="inlineStr">
        <is>
          <t>2026-04-27</t>
        </is>
      </c>
      <c r="C62" s="18" t="n">
        <v>63.16</v>
      </c>
      <c r="D62" s="19" t="n">
        <v>3978500</v>
      </c>
      <c r="E62" s="20" t="n"/>
      <c r="F62" s="14" t="inlineStr">
        <is>
          <t>TRADED</t>
        </is>
      </c>
      <c r="G62" s="11" t="n"/>
    </row>
    <row r="63">
      <c r="A63" s="14" t="n">
        <v>52</v>
      </c>
      <c r="B63" s="9" t="inlineStr">
        <is>
          <t>2026-04-28</t>
        </is>
      </c>
      <c r="C63" s="18" t="n">
        <v>61.66</v>
      </c>
      <c r="D63" s="19" t="n">
        <v>3274700</v>
      </c>
      <c r="E63" s="20" t="n"/>
      <c r="F63" s="14" t="inlineStr">
        <is>
          <t>TRADED</t>
        </is>
      </c>
      <c r="G63" s="11" t="n"/>
    </row>
    <row r="64">
      <c r="A64" s="14" t="n">
        <v>53</v>
      </c>
      <c r="B64" s="9" t="inlineStr">
        <is>
          <t>2026-04-29</t>
        </is>
      </c>
      <c r="C64" s="18" t="n">
        <v>59.56</v>
      </c>
      <c r="D64" s="19" t="n">
        <v>3073900</v>
      </c>
      <c r="E64" s="20" t="n"/>
      <c r="F64" s="14" t="inlineStr">
        <is>
          <t>TRADED</t>
        </is>
      </c>
      <c r="G64" s="11" t="n"/>
    </row>
    <row r="65">
      <c r="A65" s="14" t="n">
        <v>54</v>
      </c>
      <c r="B65" s="9" t="inlineStr">
        <is>
          <t>2026-04-30</t>
        </is>
      </c>
      <c r="C65" s="18" t="n">
        <v>63.05</v>
      </c>
      <c r="D65" s="19" t="n">
        <v>3154800</v>
      </c>
      <c r="E65" s="20" t="n"/>
      <c r="F65" s="14" t="inlineStr">
        <is>
          <t>TRADED</t>
        </is>
      </c>
      <c r="G65" s="11" t="n"/>
    </row>
    <row r="66">
      <c r="A66" s="14" t="n">
        <v>55</v>
      </c>
      <c r="B66" s="9" t="inlineStr">
        <is>
          <t>2026-05-01</t>
        </is>
      </c>
      <c r="C66" s="18" t="n">
        <v>62.05</v>
      </c>
      <c r="D66" s="19" t="n">
        <v>2579800</v>
      </c>
      <c r="E66" s="20" t="n"/>
      <c r="F66" s="14" t="inlineStr">
        <is>
          <t>TRADED</t>
        </is>
      </c>
      <c r="G66" s="11" t="n"/>
    </row>
    <row r="67">
      <c r="A67" s="14" t="n">
        <v>56</v>
      </c>
      <c r="B67" s="9" t="inlineStr">
        <is>
          <t>2026-05-04</t>
        </is>
      </c>
      <c r="C67" s="18" t="n">
        <v>61.93</v>
      </c>
      <c r="D67" s="19" t="n">
        <v>3116200</v>
      </c>
      <c r="E67" s="20" t="n"/>
      <c r="F67" s="14" t="inlineStr">
        <is>
          <t>TRADED</t>
        </is>
      </c>
      <c r="G67" s="11" t="n"/>
    </row>
    <row r="68">
      <c r="A68" s="14" t="n">
        <v>57</v>
      </c>
      <c r="B68" s="9" t="inlineStr">
        <is>
          <t>2026-05-05</t>
        </is>
      </c>
      <c r="C68" s="18" t="n">
        <v>59.31</v>
      </c>
      <c r="D68" s="19" t="n">
        <v>4267900</v>
      </c>
      <c r="E68" s="20" t="n"/>
      <c r="F68" s="14" t="inlineStr">
        <is>
          <t>TRADED</t>
        </is>
      </c>
      <c r="G68" s="11" t="n"/>
    </row>
    <row r="69">
      <c r="A69" s="14" t="n">
        <v>58</v>
      </c>
      <c r="B69" s="9" t="inlineStr">
        <is>
          <t>2026-05-06</t>
        </is>
      </c>
      <c r="C69" s="18" t="n">
        <v>61.52</v>
      </c>
      <c r="D69" s="19" t="n">
        <v>4402500</v>
      </c>
      <c r="E69" s="20" t="n"/>
      <c r="F69" s="14" t="inlineStr">
        <is>
          <t>TRADED</t>
        </is>
      </c>
      <c r="G69" s="11" t="n"/>
    </row>
    <row r="70">
      <c r="A70" s="14" t="n">
        <v>59</v>
      </c>
      <c r="B70" s="9" t="inlineStr">
        <is>
          <t>2026-05-07</t>
        </is>
      </c>
      <c r="C70" s="18" t="n">
        <v>57</v>
      </c>
      <c r="D70" s="19" t="n">
        <v>5909400</v>
      </c>
      <c r="E70" s="20" t="n"/>
      <c r="F70" s="14" t="inlineStr">
        <is>
          <t>TRADED</t>
        </is>
      </c>
      <c r="G70" s="11" t="n"/>
    </row>
    <row r="71">
      <c r="A71" s="14" t="n">
        <v>60</v>
      </c>
      <c r="B71" s="9" t="inlineStr">
        <is>
          <t>2026-05-08</t>
        </is>
      </c>
      <c r="C71" s="18" t="n">
        <v>57.89</v>
      </c>
      <c r="D71" s="19" t="n">
        <v>4323600</v>
      </c>
      <c r="E71" s="20" t="n"/>
      <c r="F71" s="14" t="inlineStr">
        <is>
          <t>TRADED</t>
        </is>
      </c>
      <c r="G71" s="11" t="n"/>
    </row>
    <row r="72">
      <c r="A72" s="14" t="n">
        <v>61</v>
      </c>
      <c r="B72" s="9" t="inlineStr">
        <is>
          <t>2026-05-11</t>
        </is>
      </c>
      <c r="C72" s="18" t="n">
        <v>56.99</v>
      </c>
      <c r="D72" s="19" t="n">
        <v>6062800</v>
      </c>
      <c r="E72" s="20" t="n"/>
      <c r="F72" s="14" t="inlineStr">
        <is>
          <t>TRADED</t>
        </is>
      </c>
      <c r="G72" s="11" t="n"/>
    </row>
    <row r="73">
      <c r="A73" s="14" t="n">
        <v>62</v>
      </c>
      <c r="B73" s="9" t="inlineStr">
        <is>
          <t>2026-05-12</t>
        </is>
      </c>
      <c r="C73" s="18" t="n">
        <v>57.33</v>
      </c>
      <c r="D73" s="19" t="n">
        <v>5095800</v>
      </c>
      <c r="E73" s="20" t="n"/>
      <c r="F73" s="14" t="inlineStr">
        <is>
          <t>TRADED</t>
        </is>
      </c>
      <c r="G73" s="11" t="n"/>
    </row>
    <row r="74">
      <c r="A74" s="14" t="n">
        <v>63</v>
      </c>
      <c r="B74" s="9" t="inlineStr">
        <is>
          <t>2026-05-13</t>
        </is>
      </c>
      <c r="C74" s="18" t="n">
        <v>52.49</v>
      </c>
      <c r="D74" s="19" t="n">
        <v>9471900</v>
      </c>
      <c r="E74" s="20" t="n"/>
      <c r="F74" s="14" t="inlineStr">
        <is>
          <t>TRADED</t>
        </is>
      </c>
      <c r="G74" s="11" t="n"/>
    </row>
    <row r="75">
      <c r="A75" s="14" t="n">
        <v>64</v>
      </c>
      <c r="B75" s="9" t="inlineStr">
        <is>
          <t>2026-05-14</t>
        </is>
      </c>
      <c r="C75" s="18" t="n">
        <v>54.85</v>
      </c>
      <c r="D75" s="19" t="n">
        <v>5498100</v>
      </c>
      <c r="E75" s="20" t="n"/>
      <c r="F75" s="14" t="inlineStr">
        <is>
          <t>TRADED</t>
        </is>
      </c>
      <c r="G75" s="11" t="n"/>
    </row>
    <row r="76">
      <c r="A76" s="14" t="n">
        <v>65</v>
      </c>
      <c r="B76" s="9" t="inlineStr">
        <is>
          <t>2026-05-15</t>
        </is>
      </c>
      <c r="C76" s="18" t="n">
        <v>52.09</v>
      </c>
      <c r="D76" s="19" t="n">
        <v>4048700</v>
      </c>
      <c r="E76" s="20" t="n"/>
      <c r="F76" s="14" t="inlineStr">
        <is>
          <t>TRADED</t>
        </is>
      </c>
      <c r="G76" s="11" t="n"/>
    </row>
    <row r="77">
      <c r="A77" s="14" t="n">
        <v>66</v>
      </c>
      <c r="B77" s="9" t="inlineStr">
        <is>
          <t>2026-05-18</t>
        </is>
      </c>
      <c r="C77" s="18" t="n">
        <v>54.22</v>
      </c>
      <c r="D77" s="19" t="n">
        <v>3734700</v>
      </c>
      <c r="E77" s="20" t="n"/>
      <c r="F77" s="14" t="inlineStr">
        <is>
          <t>TRADED</t>
        </is>
      </c>
      <c r="G77" s="11" t="n"/>
    </row>
    <row r="78">
      <c r="A78" s="14" t="n">
        <v>67</v>
      </c>
      <c r="B78" s="9" t="inlineStr">
        <is>
          <t>2026-05-19</t>
        </is>
      </c>
      <c r="C78" s="18" t="n">
        <v>53.47</v>
      </c>
      <c r="D78" s="19" t="n">
        <v>2749700</v>
      </c>
      <c r="E78" s="20" t="n"/>
      <c r="F78" s="14" t="inlineStr">
        <is>
          <t>TRADED</t>
        </is>
      </c>
      <c r="G78" s="11" t="n"/>
    </row>
    <row r="79">
      <c r="A79" s="14" t="n">
        <v>68</v>
      </c>
      <c r="B79" s="9" t="inlineStr">
        <is>
          <t>2026-05-20</t>
        </is>
      </c>
      <c r="C79" s="18" t="n">
        <v>55.82</v>
      </c>
      <c r="D79" s="19" t="n">
        <v>3929400</v>
      </c>
      <c r="E79" s="20" t="n"/>
      <c r="F79" s="14" t="inlineStr">
        <is>
          <t>TRADED</t>
        </is>
      </c>
      <c r="G79" s="11" t="n"/>
    </row>
    <row r="80">
      <c r="A80" s="14" t="n">
        <v>69</v>
      </c>
      <c r="B80" s="9" t="inlineStr">
        <is>
          <t>2026-05-21</t>
        </is>
      </c>
      <c r="C80" s="18" t="n">
        <v>54.67</v>
      </c>
      <c r="D80" s="19" t="n">
        <v>2815000</v>
      </c>
      <c r="E80" s="20" t="n"/>
      <c r="F80" s="14" t="inlineStr">
        <is>
          <t>TRADED</t>
        </is>
      </c>
      <c r="G80" s="11" t="n"/>
    </row>
    <row r="81">
      <c r="A81" s="14" t="n">
        <v>70</v>
      </c>
      <c r="B81" s="9" t="inlineStr">
        <is>
          <t>2026-05-22</t>
        </is>
      </c>
      <c r="C81" s="18" t="n">
        <v>56.18</v>
      </c>
      <c r="D81" s="19" t="n">
        <v>2949100</v>
      </c>
      <c r="E81" s="20" t="n"/>
      <c r="F81" s="14" t="inlineStr">
        <is>
          <t>TRADED</t>
        </is>
      </c>
      <c r="G81" s="11" t="n"/>
    </row>
    <row r="82">
      <c r="A82" s="14" t="n">
        <v>71</v>
      </c>
      <c r="B82" s="9" t="inlineStr">
        <is>
          <t>2026-05-26</t>
        </is>
      </c>
      <c r="C82" s="18" t="n">
        <v>56.8</v>
      </c>
      <c r="D82" s="19" t="n">
        <v>4809100</v>
      </c>
      <c r="E82" s="20" t="n"/>
      <c r="F82" s="14" t="inlineStr">
        <is>
          <t>TRADED</t>
        </is>
      </c>
      <c r="G82" s="11" t="n"/>
    </row>
    <row r="83">
      <c r="A83" s="14" t="n">
        <v>72</v>
      </c>
      <c r="B83" s="9" t="inlineStr">
        <is>
          <t>2026-05-27</t>
        </is>
      </c>
      <c r="C83" s="18" t="n">
        <v>57.3</v>
      </c>
      <c r="D83" s="19" t="n">
        <v>3232800</v>
      </c>
      <c r="E83" s="20" t="n"/>
      <c r="F83" s="14" t="inlineStr">
        <is>
          <t>TRADED</t>
        </is>
      </c>
      <c r="G83" s="11" t="n"/>
    </row>
    <row r="84">
      <c r="A84" s="14" t="n">
        <v>73</v>
      </c>
      <c r="B84" s="9" t="inlineStr">
        <is>
          <t>2026-05-28</t>
        </is>
      </c>
      <c r="C84" s="18" t="n">
        <v>65.19</v>
      </c>
      <c r="D84" s="19" t="n">
        <v>11464700</v>
      </c>
      <c r="E84" s="20" t="n"/>
      <c r="F84" s="14" t="inlineStr">
        <is>
          <t>TRADED</t>
        </is>
      </c>
      <c r="G84" s="11" t="n"/>
    </row>
    <row r="85">
      <c r="A85" s="14" t="n">
        <v>74</v>
      </c>
      <c r="B85" s="9" t="inlineStr">
        <is>
          <t>2026-05-29</t>
        </is>
      </c>
      <c r="C85" s="18" t="n">
        <v>64.13</v>
      </c>
      <c r="D85" s="19" t="n">
        <v>10066300</v>
      </c>
      <c r="E85" s="20" t="n"/>
      <c r="F85" s="14" t="inlineStr">
        <is>
          <t>TRADED</t>
        </is>
      </c>
      <c r="G85" s="11" t="n"/>
    </row>
    <row r="86">
      <c r="A86" s="14" t="n">
        <v>75</v>
      </c>
      <c r="B86" s="9" t="inlineStr">
        <is>
          <t>2026-06-01</t>
        </is>
      </c>
      <c r="C86" s="18" t="n">
        <v>63.49</v>
      </c>
      <c r="D86" s="19" t="n">
        <v>6337700</v>
      </c>
      <c r="E86" s="20" t="n"/>
      <c r="F86" s="14" t="inlineStr">
        <is>
          <t>TRADED</t>
        </is>
      </c>
      <c r="G86" s="11" t="n"/>
    </row>
    <row r="87">
      <c r="A87" s="14" t="n">
        <v>76</v>
      </c>
      <c r="B87" s="9" t="inlineStr">
        <is>
          <t>2026-06-02</t>
        </is>
      </c>
      <c r="C87" s="18" t="n">
        <v>63.27</v>
      </c>
      <c r="D87" s="19" t="n">
        <v>3585300</v>
      </c>
      <c r="E87" s="20" t="n"/>
      <c r="F87" s="14" t="inlineStr">
        <is>
          <t>TRADED</t>
        </is>
      </c>
      <c r="G87" s="11" t="n"/>
    </row>
    <row r="88">
      <c r="A88" s="14" t="n">
        <v>77</v>
      </c>
      <c r="B88" s="9" t="inlineStr">
        <is>
          <t>2026-06-03</t>
        </is>
      </c>
      <c r="C88" s="18" t="n">
        <v>58.43</v>
      </c>
      <c r="D88" s="19" t="n">
        <v>5122400</v>
      </c>
      <c r="E88" s="20" t="n"/>
      <c r="F88" s="14" t="inlineStr">
        <is>
          <t>TRADED</t>
        </is>
      </c>
      <c r="G88" s="11" t="n"/>
    </row>
    <row r="89">
      <c r="A89" s="14" t="n">
        <v>78</v>
      </c>
      <c r="B89" s="9" t="inlineStr">
        <is>
          <t>2026-06-04</t>
        </is>
      </c>
      <c r="C89" s="18" t="n">
        <v>63.4</v>
      </c>
      <c r="D89" s="19" t="n">
        <v>4224800</v>
      </c>
      <c r="E89" s="20" t="n"/>
      <c r="F89" s="14" t="inlineStr">
        <is>
          <t>TRADED</t>
        </is>
      </c>
      <c r="G89" s="11" t="n"/>
    </row>
    <row r="90">
      <c r="A90" s="14" t="n">
        <v>79</v>
      </c>
      <c r="B90" s="9" t="inlineStr">
        <is>
          <t>2026-06-05</t>
        </is>
      </c>
      <c r="C90" s="18" t="n">
        <v>58.52</v>
      </c>
      <c r="D90" s="19" t="n">
        <v>3512200</v>
      </c>
      <c r="E90" s="20" t="n"/>
      <c r="F90" s="14" t="inlineStr">
        <is>
          <t>TRADED</t>
        </is>
      </c>
      <c r="G90" s="11" t="n"/>
    </row>
    <row r="91">
      <c r="A91" s="14" t="n">
        <v>80</v>
      </c>
      <c r="B91" s="9" t="inlineStr">
        <is>
          <t>2026-06-08</t>
        </is>
      </c>
      <c r="C91" s="18" t="n">
        <v>57.73</v>
      </c>
      <c r="D91" s="19" t="n">
        <v>3191100</v>
      </c>
      <c r="E91" s="20" t="n"/>
      <c r="F91" s="14" t="inlineStr">
        <is>
          <t>TRADED</t>
        </is>
      </c>
      <c r="G91" s="11" t="n"/>
    </row>
    <row r="92">
      <c r="A92" s="14" t="n">
        <v>81</v>
      </c>
      <c r="B92" s="9" t="inlineStr">
        <is>
          <t>2026-06-09</t>
        </is>
      </c>
      <c r="C92" s="18" t="n">
        <v>56.19</v>
      </c>
      <c r="D92" s="19" t="n">
        <v>3479200</v>
      </c>
      <c r="E92" s="20" t="n"/>
      <c r="F92" s="14" t="inlineStr">
        <is>
          <t>TRADED</t>
        </is>
      </c>
      <c r="G92" s="11" t="n"/>
    </row>
    <row r="93">
      <c r="A93" s="14" t="n">
        <v>82</v>
      </c>
      <c r="B93" s="9" t="inlineStr">
        <is>
          <t>2026-06-10</t>
        </is>
      </c>
      <c r="C93" s="18" t="n">
        <v>54.82</v>
      </c>
      <c r="D93" s="19" t="n">
        <v>2749300</v>
      </c>
      <c r="E93" s="20" t="n"/>
      <c r="F93" s="14" t="inlineStr">
        <is>
          <t>TRADED</t>
        </is>
      </c>
      <c r="G93" s="11" t="n"/>
    </row>
    <row r="94">
      <c r="A94" s="14" t="n">
        <v>83</v>
      </c>
      <c r="B94" s="9" t="inlineStr">
        <is>
          <t>2026-06-11</t>
        </is>
      </c>
      <c r="C94" s="18" t="n">
        <v>58.78</v>
      </c>
      <c r="D94" s="19" t="n">
        <v>3965800</v>
      </c>
      <c r="E94" s="20" t="n"/>
      <c r="F94" s="14" t="inlineStr">
        <is>
          <t>TRADED</t>
        </is>
      </c>
      <c r="G94" s="11" t="n"/>
    </row>
    <row r="95">
      <c r="A95" s="14" t="n">
        <v>84</v>
      </c>
      <c r="B95" s="9" t="inlineStr">
        <is>
          <t>2026-06-12</t>
        </is>
      </c>
      <c r="C95" s="18" t="n">
        <v>57.75</v>
      </c>
      <c r="D95" s="19" t="n">
        <v>4625800</v>
      </c>
      <c r="E95" s="20" t="n"/>
      <c r="F95" s="14" t="inlineStr">
        <is>
          <t>TRADED</t>
        </is>
      </c>
      <c r="G95" s="11" t="n"/>
    </row>
    <row r="96">
      <c r="A96" s="14" t="n">
        <v>85</v>
      </c>
      <c r="B96" s="9" t="inlineStr">
        <is>
          <t>2026-06-15</t>
        </is>
      </c>
      <c r="C96" s="18" t="n">
        <v>57.02</v>
      </c>
      <c r="D96" s="19" t="n">
        <v>4014700</v>
      </c>
      <c r="E96" s="20" t="n"/>
      <c r="F96" s="14" t="inlineStr">
        <is>
          <t>TRADED</t>
        </is>
      </c>
      <c r="G96" s="11" t="n"/>
    </row>
    <row r="97">
      <c r="A97" s="14" t="n">
        <v>86</v>
      </c>
      <c r="B97" s="9" t="inlineStr">
        <is>
          <t>2026-06-16</t>
        </is>
      </c>
      <c r="C97" s="18" t="n">
        <v>56.34</v>
      </c>
      <c r="D97" s="19" t="n">
        <v>3132700</v>
      </c>
      <c r="E97" s="20" t="n"/>
      <c r="F97" s="14" t="inlineStr">
        <is>
          <t>TRADED</t>
        </is>
      </c>
      <c r="G97" s="11" t="n"/>
    </row>
    <row r="98">
      <c r="A98" s="14" t="n">
        <v>87</v>
      </c>
      <c r="B98" s="9" t="inlineStr">
        <is>
          <t>2026-06-17</t>
        </is>
      </c>
      <c r="C98" s="18" t="n">
        <v>56.16</v>
      </c>
      <c r="D98" s="19" t="n">
        <v>3124900</v>
      </c>
      <c r="E98" s="20" t="n"/>
      <c r="F98" s="14" t="inlineStr">
        <is>
          <t>TRADED</t>
        </is>
      </c>
      <c r="G98" s="11" t="n"/>
    </row>
    <row r="99">
      <c r="A99" s="14" t="n">
        <v>88</v>
      </c>
      <c r="B99" s="9" t="inlineStr">
        <is>
          <t>2026-06-18</t>
        </is>
      </c>
      <c r="C99" s="18" t="n">
        <v>54.21</v>
      </c>
      <c r="D99" s="19" t="n">
        <v>6964900</v>
      </c>
      <c r="E99" s="20" t="n"/>
      <c r="F99" s="14" t="inlineStr">
        <is>
          <t>TRADED</t>
        </is>
      </c>
      <c r="G99" s="11" t="n"/>
    </row>
    <row r="100">
      <c r="A100" s="14" t="n">
        <v>89</v>
      </c>
      <c r="B100" s="9" t="inlineStr">
        <is>
          <t>2026-06-22</t>
        </is>
      </c>
      <c r="C100" s="18" t="n">
        <v>51.09</v>
      </c>
      <c r="D100" s="19" t="n">
        <v>4661800</v>
      </c>
      <c r="E100" s="20" t="n"/>
      <c r="F100" s="14" t="inlineStr">
        <is>
          <t>TRADED</t>
        </is>
      </c>
      <c r="G100" s="11" t="n"/>
    </row>
    <row r="101">
      <c r="A101" s="14" t="n">
        <v>90</v>
      </c>
      <c r="B101" s="9" t="inlineStr">
        <is>
          <t>2026-06-23</t>
        </is>
      </c>
      <c r="C101" s="18" t="n">
        <v>50.8</v>
      </c>
      <c r="D101" s="19" t="n">
        <v>3683300</v>
      </c>
      <c r="E101" s="20" t="n"/>
      <c r="F101" s="14" t="inlineStr">
        <is>
          <t>TRADED</t>
        </is>
      </c>
      <c r="G101" s="11" t="n"/>
    </row>
    <row r="103">
      <c r="A103" s="7" t="inlineStr">
        <is>
          <t>집계</t>
        </is>
      </c>
    </row>
    <row r="104">
      <c r="A104" s="9" t="inlineStr">
        <is>
          <t>관측 개장일수 (분모가 되는 수)</t>
        </is>
      </c>
      <c r="B104" s="21" t="n"/>
      <c r="D104" s="17" t="inlineStr">
        <is>
          <t>위 표의 행 수</t>
        </is>
      </c>
      <c r="E104" s="22" t="n"/>
      <c r="F104" s="22" t="n"/>
      <c r="G104" s="23" t="n"/>
    </row>
    <row r="105">
      <c r="A105" s="9" t="inlineStr">
        <is>
          <t>그중 거래정지일 수</t>
        </is>
      </c>
      <c r="B105" s="21" t="n"/>
      <c r="D105" s="17" t="inlineStr">
        <is>
          <t>상태코드가 TRADING_HALT 인 날</t>
        </is>
      </c>
      <c r="E105" s="22" t="n"/>
      <c r="F105" s="22" t="n"/>
      <c r="G105" s="23" t="n"/>
    </row>
    <row r="106">
      <c r="A106" s="9" t="inlineStr">
        <is>
          <t>그중 결측일 수</t>
        </is>
      </c>
      <c r="B106" s="21" t="n"/>
      <c r="D106" s="17" t="inlineStr">
        <is>
          <t>자료 자체가 없는 날 — 분모에서 뺄 대상</t>
        </is>
      </c>
      <c r="E106" s="22" t="n"/>
      <c r="F106" s="22" t="n"/>
      <c r="G106" s="23" t="n"/>
    </row>
    <row r="107">
      <c r="A107" s="9" t="inlineStr">
        <is>
          <t>거래대금 합계</t>
        </is>
      </c>
      <c r="B107" s="21" t="n"/>
      <c r="D107" s="17" t="inlineStr">
        <is>
          <t>E12:E101 의 합</t>
        </is>
      </c>
      <c r="E107" s="22" t="n"/>
      <c r="F107" s="22" t="n"/>
      <c r="G107" s="23" t="n"/>
    </row>
    <row r="108">
      <c r="A108" s="9" t="inlineStr">
        <is>
          <t>ADTV90 = 합계 ÷ 분모</t>
        </is>
      </c>
      <c r="B108" s="24" t="n"/>
      <c r="D108" s="17" t="inlineStr">
        <is>
          <t>분모를 무엇으로 잡았는지 메모에 적으십시오</t>
        </is>
      </c>
      <c r="E108" s="22" t="n"/>
      <c r="F108" s="22" t="n"/>
      <c r="G108" s="23" t="n"/>
    </row>
    <row r="110">
      <c r="A110" s="5" t="inlineStr">
        <is>
          <t>■ 스스로 점검할 것</t>
        </is>
      </c>
    </row>
    <row r="111">
      <c r="A111" s="6" t="inlineStr">
        <is>
          <t xml:space="preserve">  분모를 90으로 했습니까, 아니면 정지일을 뺀 수로 했습니까? 규칙은 90입니다. 왜 그런지 설명할 수 있습니까?</t>
        </is>
      </c>
    </row>
    <row r="112">
      <c r="A112" s="6" t="inlineStr">
        <is>
          <t xml:space="preserve">  만약 정지일을 분모에서 뺐다면 ADTV90이 커집니다. 편입 판정이 뒤집힐 수 있습니다. 다음 시트에서 확인됩니다.</t>
        </is>
      </c>
    </row>
  </sheetData>
  <mergeCells count="18">
    <mergeCell ref="A111:G111"/>
    <mergeCell ref="A110:G110"/>
    <mergeCell ref="A8:G8"/>
    <mergeCell ref="B104:C104"/>
    <mergeCell ref="A6:G6"/>
    <mergeCell ref="D105:G105"/>
    <mergeCell ref="A4:G4"/>
    <mergeCell ref="B107:C107"/>
    <mergeCell ref="D107:G107"/>
    <mergeCell ref="D108:G108"/>
    <mergeCell ref="D104:G104"/>
    <mergeCell ref="B108:C108"/>
    <mergeCell ref="A7:G7"/>
    <mergeCell ref="A112:G112"/>
    <mergeCell ref="D106:G106"/>
    <mergeCell ref="B105:C105"/>
    <mergeCell ref="B106:C106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6" customWidth="1" min="4" max="4"/>
    <col width="18" customWidth="1" min="5" max="5"/>
    <col width="18" customWidth="1" min="6" max="6"/>
    <col width="30" customWidth="1" min="7" max="7"/>
  </cols>
  <sheetData>
    <row r="1" ht="24" customHeight="1">
      <c r="A1" s="1" t="inlineStr">
        <is>
          <t>P10 하한과 편입 판정</t>
        </is>
      </c>
    </row>
    <row r="2">
      <c r="A2" s="2" t="inlineStr">
        <is>
          <t>룰북 §8.1(분포·하한) · §9(편입) · 선형보간</t>
        </is>
      </c>
    </row>
    <row r="4">
      <c r="A4" s="3" t="inlineStr">
        <is>
          <t>■ 규칙</t>
        </is>
      </c>
    </row>
    <row r="5">
      <c r="A5" s="4" t="inlineStr">
        <is>
          <t xml:space="preserve">  같은 시장 안에서 ADTV90이 산출된 종목들을 모아 10퍼센타일을 구합니다. 그보다 낮으면 유동성 미달로 제외합니다.</t>
        </is>
      </c>
    </row>
    <row r="6">
      <c r="A6" s="4" t="inlineStr">
        <is>
          <t xml:space="preserve">  시즈닝(상장 후 유효관측 90일)을 못 채운 종목은 ADTV90 자체가 산출되지 않아 분포에서 빠집니다.</t>
        </is>
      </c>
    </row>
    <row r="7">
      <c r="A7" s="3" t="inlineStr"/>
    </row>
    <row r="8">
      <c r="A8" s="3" t="inlineStr">
        <is>
          <t>■ 선형보간으로 퍼센타일 구하는 법</t>
        </is>
      </c>
    </row>
    <row r="9">
      <c r="A9" s="4" t="inlineStr">
        <is>
          <t xml:space="preserve">  값을 작은 순으로 정렬하고 0부터 번호를 붙입니다. 위치 h = (n − 1) × (백분위 ÷ 100).</t>
        </is>
      </c>
    </row>
    <row r="10">
      <c r="A10" s="4" t="inlineStr">
        <is>
          <t xml:space="preserve">  h가 정수가 아니면 아래위 두 값 사이를 비례로 나눕니다.  값 = x[내림] + (h − 내림) × (x[올림] − x[내림])</t>
        </is>
      </c>
    </row>
    <row r="11">
      <c r="A11" s="3" t="inlineStr"/>
    </row>
    <row r="12">
      <c r="A12" s="3" t="inlineStr">
        <is>
          <t>■ 할 일 — 아래 미국 종목 분포에서 P10을 구하고 KTOS의 편입 여부를 판정하십시오.</t>
        </is>
      </c>
    </row>
    <row r="13">
      <c r="A13" s="4" t="inlineStr">
        <is>
          <t xml:space="preserve">  KTOS 칸은 비어 있습니다. 앞 시트에서 직접 계산한 값을 넣으십시오.</t>
        </is>
      </c>
    </row>
    <row r="15">
      <c r="A15" s="7" t="inlineStr">
        <is>
          <t>미국 시장 ADTV90 분포 — 검산 대상 종목만 비워 두었습니다</t>
        </is>
      </c>
    </row>
    <row r="16">
      <c r="A16" s="8" t="inlineStr"/>
      <c r="B16" s="8" t="inlineStr">
        <is>
          <t>종목</t>
        </is>
      </c>
      <c r="C16" s="8" t="inlineStr">
        <is>
          <t>ADTV90 (USD)</t>
        </is>
      </c>
      <c r="D16" s="8" t="inlineStr">
        <is>
          <t>시즈닝</t>
        </is>
      </c>
      <c r="E16" s="8" t="inlineStr">
        <is>
          <t>분포 포함?</t>
        </is>
      </c>
      <c r="F16" s="8" t="inlineStr">
        <is>
          <t>정렬 후 순번</t>
        </is>
      </c>
      <c r="G16" s="8" t="inlineStr">
        <is>
          <t>메모</t>
        </is>
      </c>
    </row>
    <row r="17">
      <c r="A17" s="9" t="n"/>
      <c r="B17" s="14" t="inlineStr">
        <is>
          <t>ALAB</t>
        </is>
      </c>
      <c r="C17" s="18" t="n">
        <v>1252321402.711111</v>
      </c>
      <c r="D17" s="14" t="inlineStr">
        <is>
          <t>SEASONED</t>
        </is>
      </c>
      <c r="E17" s="16" t="n"/>
      <c r="F17" s="16" t="n"/>
      <c r="G17" s="11" t="n"/>
    </row>
    <row r="18">
      <c r="A18" s="9" t="n"/>
      <c r="B18" s="14" t="inlineStr">
        <is>
          <t>ANET</t>
        </is>
      </c>
      <c r="C18" s="18" t="n">
        <v>1314153704.233333</v>
      </c>
      <c r="D18" s="14" t="inlineStr">
        <is>
          <t>SEASONED</t>
        </is>
      </c>
      <c r="E18" s="16" t="n"/>
      <c r="F18" s="16" t="n"/>
      <c r="G18" s="11" t="n"/>
    </row>
    <row r="19">
      <c r="A19" s="9" t="n"/>
      <c r="B19" s="14" t="inlineStr">
        <is>
          <t>APH</t>
        </is>
      </c>
      <c r="C19" s="18" t="n">
        <v>1342697168.855556</v>
      </c>
      <c r="D19" s="14" t="inlineStr">
        <is>
          <t>SEASONED</t>
        </is>
      </c>
      <c r="E19" s="16" t="n"/>
      <c r="F19" s="16" t="n"/>
      <c r="G19" s="11" t="n"/>
    </row>
    <row r="20">
      <c r="A20" s="9" t="n"/>
      <c r="B20" s="14" t="inlineStr">
        <is>
          <t>ATI</t>
        </is>
      </c>
      <c r="C20" s="18" t="n">
        <v>317626170.9555556</v>
      </c>
      <c r="D20" s="14" t="inlineStr">
        <is>
          <t>SEASONED</t>
        </is>
      </c>
      <c r="E20" s="16" t="n"/>
      <c r="F20" s="16" t="n"/>
      <c r="G20" s="11" t="n"/>
    </row>
    <row r="21">
      <c r="A21" s="9" t="n"/>
      <c r="B21" s="14" t="inlineStr">
        <is>
          <t>ETN</t>
        </is>
      </c>
      <c r="C21" s="18" t="n">
        <v>1016364377.211111</v>
      </c>
      <c r="D21" s="14" t="inlineStr">
        <is>
          <t>SEASONED</t>
        </is>
      </c>
      <c r="E21" s="16" t="n"/>
      <c r="F21" s="16" t="n"/>
      <c r="G21" s="11" t="n"/>
    </row>
    <row r="22">
      <c r="A22" s="9" t="n"/>
      <c r="B22" s="14" t="inlineStr">
        <is>
          <t>GEV</t>
        </is>
      </c>
      <c r="C22" s="18" t="n">
        <v>2508603588.316444</v>
      </c>
      <c r="D22" s="14" t="inlineStr">
        <is>
          <t>SEASONED</t>
        </is>
      </c>
      <c r="E22" s="16" t="n"/>
      <c r="F22" s="16" t="n"/>
      <c r="G22" s="11" t="n"/>
    </row>
    <row r="23">
      <c r="A23" s="9" t="n"/>
      <c r="B23" s="14" t="inlineStr">
        <is>
          <t>KTOS</t>
        </is>
      </c>
      <c r="C23" s="24" t="n"/>
      <c r="D23" s="14" t="inlineStr">
        <is>
          <t>SEASONED</t>
        </is>
      </c>
      <c r="E23" s="16" t="n"/>
      <c r="F23" s="16" t="n"/>
      <c r="G23" s="13" t="inlineStr">
        <is>
          <t>← 03-04 시트에서 직접 계산한 값</t>
        </is>
      </c>
    </row>
    <row r="24">
      <c r="A24" s="9" t="n"/>
      <c r="B24" s="14" t="inlineStr">
        <is>
          <t>TER</t>
        </is>
      </c>
      <c r="C24" s="18" t="n">
        <v>1322404734.188889</v>
      </c>
      <c r="D24" s="14" t="inlineStr">
        <is>
          <t>SEASONED</t>
        </is>
      </c>
      <c r="E24" s="16" t="n"/>
      <c r="F24" s="16" t="n"/>
      <c r="G24" s="11" t="n"/>
    </row>
    <row r="25">
      <c r="A25" s="9" t="n"/>
      <c r="B25" s="14" t="inlineStr">
        <is>
          <t>SPCX</t>
        </is>
      </c>
      <c r="C25" s="14" t="inlineStr">
        <is>
          <t>(산출 안 됨)</t>
        </is>
      </c>
      <c r="D25" s="14" t="inlineStr">
        <is>
          <t>SEASONING_INCOMPLETE</t>
        </is>
      </c>
      <c r="E25" s="16" t="n"/>
      <c r="F25" s="16" t="n"/>
      <c r="G25" s="11" t="inlineStr">
        <is>
          <t>분포에 넣을지 판단하십시오</t>
        </is>
      </c>
    </row>
    <row r="27">
      <c r="A27" s="7" t="inlineStr">
        <is>
          <t>계산</t>
        </is>
      </c>
    </row>
    <row r="28">
      <c r="A28" s="9" t="inlineStr">
        <is>
          <t>분포에 들어간 종목 수 n</t>
        </is>
      </c>
      <c r="B28" s="11" t="n"/>
      <c r="D28" s="17" t="inlineStr">
        <is>
          <t>ADTV90이 산출된 종목만</t>
        </is>
      </c>
    </row>
    <row r="29">
      <c r="A29" s="9" t="inlineStr">
        <is>
          <t>보간 위치 h = (n−1) × 0.10</t>
        </is>
      </c>
      <c r="B29" s="11" t="n"/>
      <c r="D29" s="17" t="inlineStr">
        <is>
          <t>소수로 나옵니다</t>
        </is>
      </c>
    </row>
    <row r="30">
      <c r="A30" s="9" t="inlineStr">
        <is>
          <t>h 아래 정수 위치의 값</t>
        </is>
      </c>
      <c r="B30" s="11" t="n"/>
      <c r="D30" s="17" t="inlineStr">
        <is>
          <t>정렬 후 x[내림]</t>
        </is>
      </c>
    </row>
    <row r="31">
      <c r="A31" s="9" t="inlineStr">
        <is>
          <t>h 위 정수 위치의 값</t>
        </is>
      </c>
      <c r="B31" s="11" t="n"/>
      <c r="D31" s="17" t="inlineStr">
        <is>
          <t>정렬 후 x[올림]</t>
        </is>
      </c>
    </row>
    <row r="32">
      <c r="A32" s="9" t="inlineStr">
        <is>
          <t>P10 하한</t>
        </is>
      </c>
      <c r="B32" s="12" t="n"/>
      <c r="D32" s="17" t="inlineStr">
        <is>
          <t>위 보간식을 적용</t>
        </is>
      </c>
    </row>
    <row r="33">
      <c r="A33" s="9" t="inlineStr">
        <is>
          <t>KTOS 편입 여부</t>
        </is>
      </c>
      <c r="B33" s="12" t="n"/>
      <c r="D33" s="17" t="inlineStr">
        <is>
          <t>P10 이상이면 편입, 미만이면 제외</t>
        </is>
      </c>
    </row>
    <row r="34">
      <c r="A34" s="9" t="inlineStr">
        <is>
          <t>KTOS의 P10 대비 차이(%)</t>
        </is>
      </c>
      <c r="B34" s="11" t="n"/>
      <c r="D34" s="17" t="inlineStr">
        <is>
          <t>(ADTV90 ÷ P10 − 1) × 100</t>
        </is>
      </c>
    </row>
    <row r="35">
      <c r="A35" s="9" t="inlineStr">
        <is>
          <t>P10 미만인 종목 수</t>
        </is>
      </c>
      <c r="B35" s="11" t="n"/>
      <c r="D35" s="17" t="inlineStr">
        <is>
          <t>몇 개나 떨어졌습니까?</t>
        </is>
      </c>
    </row>
    <row r="37">
      <c r="A37" s="3" t="inlineStr">
        <is>
          <t>■ 다 구한 뒤에 생각해 볼 것 — 이것이 발표에서 쓸 내용입니다</t>
        </is>
      </c>
    </row>
    <row r="38">
      <c r="A38" s="4" t="inlineStr">
        <is>
          <t xml:space="preserve">  h를 계산해 보면 0과 1 사이입니다. 그러면 P10은 항상 '가장 작은 값'과 '두 번째로 작은 값' 사이에 놓입니다.</t>
        </is>
      </c>
    </row>
    <row r="39">
      <c r="A39" s="4" t="inlineStr">
        <is>
          <t xml:space="preserve">  즉 P10 미만인 종목은 언제나 정확히 한 개입니다. 그 종목의 거래대금이 크든 작든 상관없습니다.</t>
        </is>
      </c>
    </row>
    <row r="40">
      <c r="A40" s="4" t="inlineStr">
        <is>
          <t xml:space="preserve">  → 지금 규칙은 '유동성이 일정 수준 미만이면 제외'가 아니라 '가장 낮은 하나를 제외'로 작동하고 있습니다.</t>
        </is>
      </c>
    </row>
    <row r="41">
      <c r="A41" s="4" t="inlineStr">
        <is>
          <t xml:space="preserve">  → 종목 수가 몇 개가 되어야 두 개 이상 떨어질 수 있습니까? h ≥ 1 이 되는 n을 구해 보십시오.</t>
        </is>
      </c>
    </row>
    <row r="43">
      <c r="A43" s="9" t="inlineStr">
        <is>
          <t>두 개 이상 떨어지려면 필요한 최소 n</t>
        </is>
      </c>
      <c r="B43" s="12" t="n"/>
    </row>
  </sheetData>
  <mergeCells count="32">
    <mergeCell ref="A8:G8"/>
    <mergeCell ref="A4:G4"/>
    <mergeCell ref="D30:G30"/>
    <mergeCell ref="A38:G38"/>
    <mergeCell ref="D33:G33"/>
    <mergeCell ref="B31:C31"/>
    <mergeCell ref="D29:G29"/>
    <mergeCell ref="A10:G10"/>
    <mergeCell ref="B43:C43"/>
    <mergeCell ref="A13:G13"/>
    <mergeCell ref="A40:G40"/>
    <mergeCell ref="A9:G9"/>
    <mergeCell ref="D35:G35"/>
    <mergeCell ref="A39:G39"/>
    <mergeCell ref="D34:G34"/>
    <mergeCell ref="A11:G11"/>
    <mergeCell ref="D31:G31"/>
    <mergeCell ref="B29:C29"/>
    <mergeCell ref="A6:G6"/>
    <mergeCell ref="B34:C34"/>
    <mergeCell ref="B28:C28"/>
    <mergeCell ref="A7:G7"/>
    <mergeCell ref="A41:G41"/>
    <mergeCell ref="D32:G32"/>
    <mergeCell ref="A37:G37"/>
    <mergeCell ref="B30:C30"/>
    <mergeCell ref="B33:C33"/>
    <mergeCell ref="A12:G12"/>
    <mergeCell ref="B32:C32"/>
    <mergeCell ref="B35:C35"/>
    <mergeCell ref="D28:G28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6" customWidth="1" min="4" max="4"/>
    <col width="16" customWidth="1" min="5" max="5"/>
    <col width="18" customWidth="1" min="6" max="6"/>
    <col width="18" customWidth="1" min="7" max="7"/>
    <col width="24" customWidth="1" min="8" max="8"/>
  </cols>
  <sheetData>
    <row r="1" ht="24" customHeight="1">
      <c r="A1" s="1" t="inlineStr">
        <is>
          <t>6셀 구조와 목표비중</t>
        </is>
      </c>
    </row>
    <row r="2">
      <c r="A2" s="2" t="inlineStr">
        <is>
          <t>D-04 ②(테마 1:1:1) · D-10 ①(지역 50:50) · D-10 ②(6셀 각 1/6)</t>
        </is>
      </c>
    </row>
    <row r="4">
      <c r="A4" s="3" t="inlineStr">
        <is>
          <t>■ 규칙</t>
        </is>
      </c>
    </row>
    <row r="5">
      <c r="A5" s="4" t="inlineStr">
        <is>
          <t xml:space="preserve">  테마 3개(우주방산·AI로보틱스·에너지전력)에 각각 1/3, 지역 2개(한국·미국)에 각각 1/2.</t>
        </is>
      </c>
    </row>
    <row r="6">
      <c r="A6" s="4" t="inlineStr">
        <is>
          <t xml:space="preserve">  두 조건을 함께 만족하도록 3×2 = 6개 셀에 각 1/6씩 배분합니다.</t>
        </is>
      </c>
    </row>
    <row r="7">
      <c r="A7" s="4" t="inlineStr">
        <is>
          <t xml:space="preserve">  셀 안에서는 편입된 종목끼리 균등하게 나눕니다. 셀에 1종목뿐이면 그 종목이 1/6을 전부 갖습니다.</t>
        </is>
      </c>
    </row>
    <row r="8">
      <c r="A8" s="3" t="inlineStr"/>
    </row>
    <row r="9">
      <c r="A9" s="3" t="inlineStr">
        <is>
          <t>■ 할 일 — 각 셀의 편입 종목 수를 세고, 종목별 목표비중을 계산하십시오.</t>
        </is>
      </c>
    </row>
    <row r="11">
      <c r="A11" s="5" t="inlineStr">
        <is>
          <t>■ 주의 — 여기서 쓰는 회차는 05 시트와 다릅니다. 헷갈리기 쉬운 지점입니다.</t>
        </is>
      </c>
    </row>
    <row r="12">
      <c r="A12" s="6" t="inlineStr">
        <is>
          <t xml:space="preserve">  05 시트는 2026-06-30 회차의 편입 판정이었습니다. 그 결과는 '다음 구간'에 적용될 것입니다.</t>
        </is>
      </c>
    </row>
    <row r="13">
      <c r="A13" s="6" t="inlineStr">
        <is>
          <t xml:space="preserve">  지금 지수 산출구간(2026-04-01~06-30)에 실제로 적용된 것은 2026-03-31 회차 선정분입니다.</t>
        </is>
      </c>
    </row>
    <row r="14">
      <c r="A14" s="6" t="inlineStr">
        <is>
          <t xml:space="preserve">  그래서 이 시트는 3/31 회차를 씁니다. 07 시트의 지수 계산도 이 비중을 씁니다.</t>
        </is>
      </c>
    </row>
    <row r="15">
      <c r="A15" s="6" t="inlineStr">
        <is>
          <t xml:space="preserve">  → 선정일과 적용일은 다릅니다. 6/30 선정분은 적용일이 이 구간 밖이라 지수에 들어가지 않았습니다.</t>
        </is>
      </c>
    </row>
    <row r="16">
      <c r="A16" s="6" t="inlineStr">
        <is>
          <t xml:space="preserve">  → 참고로 룰북 245행은 적용일 세부 규칙을 아직 후속과제로 두고 있습니다. 산출물에 effective_date 열이 없습니다.</t>
        </is>
      </c>
    </row>
    <row r="18">
      <c r="A18" s="7" t="inlineStr">
        <is>
          <t>셀별 집계</t>
        </is>
      </c>
    </row>
    <row r="19">
      <c r="A19" s="8" t="inlineStr"/>
      <c r="B19" s="8" t="inlineStr">
        <is>
          <t>셀</t>
        </is>
      </c>
      <c r="C19" s="8" t="inlineStr">
        <is>
          <t>테마</t>
        </is>
      </c>
      <c r="D19" s="8" t="inlineStr">
        <is>
          <t>지역</t>
        </is>
      </c>
      <c r="E19" s="8" t="inlineStr">
        <is>
          <t>셀 목표비중</t>
        </is>
      </c>
      <c r="F19" s="8" t="inlineStr">
        <is>
          <t>편입 종목수</t>
        </is>
      </c>
      <c r="G19" s="8" t="inlineStr">
        <is>
          <t>종목당 비중</t>
        </is>
      </c>
      <c r="H19" s="8" t="inlineStr">
        <is>
          <t>메모</t>
        </is>
      </c>
    </row>
    <row r="20">
      <c r="A20" s="9" t="n"/>
      <c r="B20" s="9" t="inlineStr">
        <is>
          <t>KR_AI_ROBOTICS</t>
        </is>
      </c>
      <c r="C20" s="9" t="inlineStr">
        <is>
          <t>AI_ROBOTICS</t>
        </is>
      </c>
      <c r="D20" s="14" t="inlineStr">
        <is>
          <t>KR</t>
        </is>
      </c>
      <c r="E20" s="25" t="n"/>
      <c r="F20" s="16" t="n"/>
      <c r="G20" s="25" t="n"/>
      <c r="H20" s="11" t="n"/>
    </row>
    <row r="21">
      <c r="A21" s="9" t="n"/>
      <c r="B21" s="9" t="inlineStr">
        <is>
          <t>KR_ENERGY_POWER</t>
        </is>
      </c>
      <c r="C21" s="9" t="inlineStr">
        <is>
          <t>ENERGY_POWER</t>
        </is>
      </c>
      <c r="D21" s="14" t="inlineStr">
        <is>
          <t>KR</t>
        </is>
      </c>
      <c r="E21" s="25" t="n"/>
      <c r="F21" s="16" t="n"/>
      <c r="G21" s="25" t="n"/>
      <c r="H21" s="11" t="n"/>
    </row>
    <row r="22">
      <c r="A22" s="9" t="n"/>
      <c r="B22" s="9" t="inlineStr">
        <is>
          <t>KR_SPACE_DEFENSE</t>
        </is>
      </c>
      <c r="C22" s="9" t="inlineStr">
        <is>
          <t>SPACE_DEFENSE</t>
        </is>
      </c>
      <c r="D22" s="14" t="inlineStr">
        <is>
          <t>KR</t>
        </is>
      </c>
      <c r="E22" s="25" t="n"/>
      <c r="F22" s="16" t="n"/>
      <c r="G22" s="25" t="n"/>
      <c r="H22" s="11" t="n"/>
    </row>
    <row r="23">
      <c r="A23" s="9" t="n"/>
      <c r="B23" s="9" t="inlineStr">
        <is>
          <t>US_AI_ROBOTICS</t>
        </is>
      </c>
      <c r="C23" s="9" t="inlineStr">
        <is>
          <t>AI_ROBOTICS</t>
        </is>
      </c>
      <c r="D23" s="14" t="inlineStr">
        <is>
          <t>US</t>
        </is>
      </c>
      <c r="E23" s="25" t="n"/>
      <c r="F23" s="16" t="n"/>
      <c r="G23" s="25" t="n"/>
      <c r="H23" s="11" t="n"/>
    </row>
    <row r="24">
      <c r="A24" s="9" t="n"/>
      <c r="B24" s="9" t="inlineStr">
        <is>
          <t>US_ENERGY_POWER</t>
        </is>
      </c>
      <c r="C24" s="9" t="inlineStr">
        <is>
          <t>ENERGY_POWER</t>
        </is>
      </c>
      <c r="D24" s="14" t="inlineStr">
        <is>
          <t>US</t>
        </is>
      </c>
      <c r="E24" s="25" t="n"/>
      <c r="F24" s="16" t="n"/>
      <c r="G24" s="25" t="n"/>
      <c r="H24" s="11" t="n"/>
    </row>
    <row r="25">
      <c r="A25" s="9" t="n"/>
      <c r="B25" s="9" t="inlineStr">
        <is>
          <t>US_SPACE_DEFENSE</t>
        </is>
      </c>
      <c r="C25" s="9" t="inlineStr">
        <is>
          <t>SPACE_DEFENSE</t>
        </is>
      </c>
      <c r="D25" s="14" t="inlineStr">
        <is>
          <t>US</t>
        </is>
      </c>
      <c r="E25" s="25" t="n"/>
      <c r="F25" s="16" t="n"/>
      <c r="G25" s="25" t="n"/>
      <c r="H25" s="11" t="n"/>
    </row>
    <row r="26">
      <c r="D26" s="26" t="inlineStr">
        <is>
          <t>합계</t>
        </is>
      </c>
      <c r="E26" s="27" t="n"/>
      <c r="H26" s="13" t="inlineStr">
        <is>
          <t>정확히 1.000000 이어야 합니다</t>
        </is>
      </c>
    </row>
    <row r="28">
      <c r="A28" s="7" t="inlineStr">
        <is>
          <t>종목별 목표비중 — 편입 종목 전체</t>
        </is>
      </c>
    </row>
    <row r="29">
      <c r="A29" s="8" t="inlineStr"/>
      <c r="B29" s="8" t="inlineStr">
        <is>
          <t>종목</t>
        </is>
      </c>
      <c r="C29" s="8" t="inlineStr">
        <is>
          <t>지역</t>
        </is>
      </c>
      <c r="D29" s="8" t="inlineStr">
        <is>
          <t>테마</t>
        </is>
      </c>
      <c r="E29" s="8" t="inlineStr">
        <is>
          <t>셀</t>
        </is>
      </c>
      <c r="F29" s="8" t="inlineStr">
        <is>
          <t>목표비중</t>
        </is>
      </c>
      <c r="G29" s="8" t="inlineStr"/>
      <c r="H29" s="8" t="inlineStr">
        <is>
          <t>메모</t>
        </is>
      </c>
    </row>
    <row r="30">
      <c r="A30" s="9" t="n"/>
      <c r="B30" s="14" t="inlineStr">
        <is>
          <t>064400</t>
        </is>
      </c>
      <c r="C30" s="14" t="inlineStr">
        <is>
          <t>KR</t>
        </is>
      </c>
      <c r="D30" s="9" t="inlineStr">
        <is>
          <t>AI_ROBOTICS</t>
        </is>
      </c>
      <c r="E30" s="9" t="inlineStr">
        <is>
          <t>KR_AI_ROBOTICS</t>
        </is>
      </c>
      <c r="F30" s="25" t="n"/>
      <c r="G30" s="9" t="n"/>
      <c r="H30" s="11" t="n"/>
    </row>
    <row r="31">
      <c r="A31" s="9" t="n"/>
      <c r="B31" s="14" t="inlineStr">
        <is>
          <t>307950</t>
        </is>
      </c>
      <c r="C31" s="14" t="inlineStr">
        <is>
          <t>KR</t>
        </is>
      </c>
      <c r="D31" s="9" t="inlineStr">
        <is>
          <t>AI_ROBOTICS</t>
        </is>
      </c>
      <c r="E31" s="9" t="inlineStr">
        <is>
          <t>KR_AI_ROBOTICS</t>
        </is>
      </c>
      <c r="F31" s="25" t="n"/>
      <c r="G31" s="9" t="n"/>
      <c r="H31" s="11" t="n"/>
    </row>
    <row r="32">
      <c r="A32" s="9" t="n"/>
      <c r="B32" s="14" t="inlineStr">
        <is>
          <t>010120</t>
        </is>
      </c>
      <c r="C32" s="14" t="inlineStr">
        <is>
          <t>KR</t>
        </is>
      </c>
      <c r="D32" s="9" t="inlineStr">
        <is>
          <t>ENERGY_POWER</t>
        </is>
      </c>
      <c r="E32" s="9" t="inlineStr">
        <is>
          <t>KR_ENERGY_POWER</t>
        </is>
      </c>
      <c r="F32" s="25" t="n"/>
      <c r="G32" s="9" t="n"/>
      <c r="H32" s="11" t="n"/>
    </row>
    <row r="33">
      <c r="A33" s="9" t="n"/>
      <c r="B33" s="14" t="inlineStr">
        <is>
          <t>267260</t>
        </is>
      </c>
      <c r="C33" s="14" t="inlineStr">
        <is>
          <t>KR</t>
        </is>
      </c>
      <c r="D33" s="9" t="inlineStr">
        <is>
          <t>ENERGY_POWER</t>
        </is>
      </c>
      <c r="E33" s="9" t="inlineStr">
        <is>
          <t>KR_ENERGY_POWER</t>
        </is>
      </c>
      <c r="F33" s="25" t="n"/>
      <c r="G33" s="9" t="n"/>
      <c r="H33" s="11" t="n"/>
    </row>
    <row r="34">
      <c r="A34" s="9" t="n"/>
      <c r="B34" s="14" t="inlineStr">
        <is>
          <t>298040</t>
        </is>
      </c>
      <c r="C34" s="14" t="inlineStr">
        <is>
          <t>KR</t>
        </is>
      </c>
      <c r="D34" s="9" t="inlineStr">
        <is>
          <t>ENERGY_POWER</t>
        </is>
      </c>
      <c r="E34" s="9" t="inlineStr">
        <is>
          <t>KR_ENERGY_POWER</t>
        </is>
      </c>
      <c r="F34" s="25" t="n"/>
      <c r="G34" s="9" t="n"/>
      <c r="H34" s="11" t="n"/>
    </row>
    <row r="35">
      <c r="A35" s="9" t="n"/>
      <c r="B35" s="14" t="inlineStr">
        <is>
          <t>012450</t>
        </is>
      </c>
      <c r="C35" s="14" t="inlineStr">
        <is>
          <t>KR</t>
        </is>
      </c>
      <c r="D35" s="9" t="inlineStr">
        <is>
          <t>SPACE_DEFENSE</t>
        </is>
      </c>
      <c r="E35" s="9" t="inlineStr">
        <is>
          <t>KR_SPACE_DEFENSE</t>
        </is>
      </c>
      <c r="F35" s="25" t="n"/>
      <c r="G35" s="9" t="n"/>
      <c r="H35" s="11" t="n"/>
    </row>
    <row r="36">
      <c r="A36" s="9" t="n"/>
      <c r="B36" s="14" t="inlineStr">
        <is>
          <t>064350</t>
        </is>
      </c>
      <c r="C36" s="14" t="inlineStr">
        <is>
          <t>KR</t>
        </is>
      </c>
      <c r="D36" s="9" t="inlineStr">
        <is>
          <t>SPACE_DEFENSE</t>
        </is>
      </c>
      <c r="E36" s="9" t="inlineStr">
        <is>
          <t>KR_SPACE_DEFENSE</t>
        </is>
      </c>
      <c r="F36" s="25" t="n"/>
      <c r="G36" s="9" t="n"/>
      <c r="H36" s="11" t="n"/>
    </row>
    <row r="37">
      <c r="A37" s="9" t="n"/>
      <c r="B37" s="14" t="inlineStr">
        <is>
          <t>079550</t>
        </is>
      </c>
      <c r="C37" s="14" t="inlineStr">
        <is>
          <t>KR</t>
        </is>
      </c>
      <c r="D37" s="9" t="inlineStr">
        <is>
          <t>SPACE_DEFENSE</t>
        </is>
      </c>
      <c r="E37" s="9" t="inlineStr">
        <is>
          <t>KR_SPACE_DEFENSE</t>
        </is>
      </c>
      <c r="F37" s="25" t="n"/>
      <c r="G37" s="9" t="n"/>
      <c r="H37" s="11" t="n"/>
    </row>
    <row r="38">
      <c r="A38" s="9" t="n"/>
      <c r="B38" s="14" t="inlineStr">
        <is>
          <t>ALAB</t>
        </is>
      </c>
      <c r="C38" s="14" t="inlineStr">
        <is>
          <t>US</t>
        </is>
      </c>
      <c r="D38" s="9" t="inlineStr">
        <is>
          <t>AI_ROBOTICS</t>
        </is>
      </c>
      <c r="E38" s="9" t="inlineStr">
        <is>
          <t>US_AI_ROBOTICS</t>
        </is>
      </c>
      <c r="F38" s="25" t="n"/>
      <c r="G38" s="9" t="n"/>
      <c r="H38" s="11" t="n"/>
    </row>
    <row r="39">
      <c r="A39" s="9" t="n"/>
      <c r="B39" s="14" t="inlineStr">
        <is>
          <t>ANET</t>
        </is>
      </c>
      <c r="C39" s="14" t="inlineStr">
        <is>
          <t>US</t>
        </is>
      </c>
      <c r="D39" s="9" t="inlineStr">
        <is>
          <t>AI_ROBOTICS</t>
        </is>
      </c>
      <c r="E39" s="9" t="inlineStr">
        <is>
          <t>US_AI_ROBOTICS</t>
        </is>
      </c>
      <c r="F39" s="25" t="n"/>
      <c r="G39" s="9" t="n"/>
      <c r="H39" s="11" t="n"/>
    </row>
    <row r="40">
      <c r="A40" s="9" t="n"/>
      <c r="B40" s="14" t="inlineStr">
        <is>
          <t>TER</t>
        </is>
      </c>
      <c r="C40" s="14" t="inlineStr">
        <is>
          <t>US</t>
        </is>
      </c>
      <c r="D40" s="9" t="inlineStr">
        <is>
          <t>AI_ROBOTICS</t>
        </is>
      </c>
      <c r="E40" s="9" t="inlineStr">
        <is>
          <t>US_AI_ROBOTICS</t>
        </is>
      </c>
      <c r="F40" s="25" t="n"/>
      <c r="G40" s="9" t="n"/>
      <c r="H40" s="11" t="n"/>
    </row>
    <row r="41">
      <c r="A41" s="9" t="n"/>
      <c r="B41" s="14" t="inlineStr">
        <is>
          <t>APH</t>
        </is>
      </c>
      <c r="C41" s="14" t="inlineStr">
        <is>
          <t>US</t>
        </is>
      </c>
      <c r="D41" s="9" t="inlineStr">
        <is>
          <t>ENERGY_POWER</t>
        </is>
      </c>
      <c r="E41" s="9" t="inlineStr">
        <is>
          <t>US_ENERGY_POWER</t>
        </is>
      </c>
      <c r="F41" s="25" t="n"/>
      <c r="G41" s="9" t="n"/>
      <c r="H41" s="11" t="n"/>
    </row>
    <row r="42">
      <c r="A42" s="9" t="n"/>
      <c r="B42" s="14" t="inlineStr">
        <is>
          <t>ETN</t>
        </is>
      </c>
      <c r="C42" s="14" t="inlineStr">
        <is>
          <t>US</t>
        </is>
      </c>
      <c r="D42" s="9" t="inlineStr">
        <is>
          <t>ENERGY_POWER</t>
        </is>
      </c>
      <c r="E42" s="9" t="inlineStr">
        <is>
          <t>US_ENERGY_POWER</t>
        </is>
      </c>
      <c r="F42" s="25" t="n"/>
      <c r="G42" s="9" t="n"/>
      <c r="H42" s="11" t="n"/>
    </row>
    <row r="43">
      <c r="A43" s="9" t="n"/>
      <c r="B43" s="14" t="inlineStr">
        <is>
          <t>GEV</t>
        </is>
      </c>
      <c r="C43" s="14" t="inlineStr">
        <is>
          <t>US</t>
        </is>
      </c>
      <c r="D43" s="9" t="inlineStr">
        <is>
          <t>ENERGY_POWER</t>
        </is>
      </c>
      <c r="E43" s="9" t="inlineStr">
        <is>
          <t>US_ENERGY_POWER</t>
        </is>
      </c>
      <c r="F43" s="25" t="n"/>
      <c r="G43" s="9" t="n"/>
      <c r="H43" s="11" t="n"/>
    </row>
    <row r="44">
      <c r="A44" s="9" t="n"/>
      <c r="B44" s="14" t="inlineStr">
        <is>
          <t>KTOS</t>
        </is>
      </c>
      <c r="C44" s="14" t="inlineStr">
        <is>
          <t>US</t>
        </is>
      </c>
      <c r="D44" s="9" t="inlineStr">
        <is>
          <t>SPACE_DEFENSE</t>
        </is>
      </c>
      <c r="E44" s="9" t="inlineStr">
        <is>
          <t>US_SPACE_DEFENSE</t>
        </is>
      </c>
      <c r="F44" s="25" t="n"/>
      <c r="G44" s="9" t="n"/>
      <c r="H44" s="11" t="n"/>
    </row>
    <row r="45">
      <c r="E45" s="26" t="inlineStr">
        <is>
          <t>합계</t>
        </is>
      </c>
      <c r="F45" s="27" t="n"/>
    </row>
    <row r="47">
      <c r="A47" s="3" t="inlineStr">
        <is>
          <t>■ 다 구한 뒤에 생각해 볼 것</t>
        </is>
      </c>
    </row>
    <row r="48">
      <c r="A48" s="4" t="inlineStr">
        <is>
          <t xml:space="preserve">  가장 큰 비중을 가진 종목은 몇 퍼센트입니까? 다른 종목의 몇 배입니까?</t>
        </is>
      </c>
    </row>
    <row r="49">
      <c r="A49" s="4" t="inlineStr">
        <is>
          <t xml:space="preserve">  그 셀에 종목이 몇 개 있습니까? 그 종목이 다음 회차에 빠지면 그 셀은 어떻게 됩니까?</t>
        </is>
      </c>
    </row>
    <row r="50">
      <c r="A50" s="4" t="inlineStr">
        <is>
          <t xml:space="preserve">  → 지금 규칙에는 개별종목 상한이 없고 셀 최소 종목수도 정해져 있지 않습니다.</t>
        </is>
      </c>
    </row>
    <row r="52">
      <c r="A52" s="9" t="inlineStr">
        <is>
          <t>최대 비중 종목</t>
        </is>
      </c>
      <c r="B52" s="12" t="n"/>
    </row>
    <row r="53">
      <c r="A53" s="9" t="inlineStr">
        <is>
          <t>그 비중(%)</t>
        </is>
      </c>
      <c r="B53" s="12" t="n"/>
    </row>
    <row r="54">
      <c r="A54" s="9" t="inlineStr">
        <is>
          <t>그 셀의 종목 수</t>
        </is>
      </c>
      <c r="B54" s="12" t="n"/>
    </row>
  </sheetData>
  <mergeCells count="19">
    <mergeCell ref="A9:H9"/>
    <mergeCell ref="A48:H48"/>
    <mergeCell ref="B54:C54"/>
    <mergeCell ref="A15:H15"/>
    <mergeCell ref="A11:H11"/>
    <mergeCell ref="A49:H49"/>
    <mergeCell ref="A6:H6"/>
    <mergeCell ref="B52:C52"/>
    <mergeCell ref="A7:H7"/>
    <mergeCell ref="A16:H16"/>
    <mergeCell ref="B53:C53"/>
    <mergeCell ref="A12:H12"/>
    <mergeCell ref="A50:H50"/>
    <mergeCell ref="A14:H14"/>
    <mergeCell ref="A47:H47"/>
    <mergeCell ref="A5:H5"/>
    <mergeCell ref="A8:H8"/>
    <mergeCell ref="A4:H4"/>
    <mergeCell ref="A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 ht="24" customHeight="1">
      <c r="A1" s="1" t="inlineStr">
        <is>
          <t>지수 레벨 — 2026-04-07</t>
        </is>
      </c>
    </row>
    <row r="2">
      <c r="A2" s="2" t="inlineStr">
        <is>
          <t>룰북 §13 · D-08 · 기준일 2026-04-01 = 1,000 · 원화 · 무헤지</t>
        </is>
      </c>
    </row>
    <row r="4">
      <c r="A4" s="3" t="inlineStr">
        <is>
          <t>■ 규칙</t>
        </is>
      </c>
    </row>
    <row r="5">
      <c r="A5" s="4" t="inlineStr">
        <is>
          <t xml:space="preserve">  구간 시작일 가격 대비 현재 가격의 비율을 종목마다 구하고, 목표비중을 곱해 모두 더합니다.</t>
        </is>
      </c>
    </row>
    <row r="6">
      <c r="A6" s="4" t="inlineStr">
        <is>
          <t xml:space="preserve">  거기에 기준값 1,000을 곱하면 지수 레벨입니다.</t>
        </is>
      </c>
    </row>
    <row r="7">
      <c r="A7" s="4" t="inlineStr">
        <is>
          <t xml:space="preserve">  미국 종목은 그날의 환율로 원화로 바꾼 뒤에 비율을 계산합니다. 환율도 날마다 다릅니다.</t>
        </is>
      </c>
    </row>
    <row r="8">
      <c r="A8" s="3" t="inlineStr"/>
    </row>
    <row r="9">
      <c r="A9" s="4" t="inlineStr">
        <is>
          <t xml:space="preserve">      지수 = 1000 × Σ ( 목표비중 × 당일가격(원) ÷ 기준일가격(원) )</t>
        </is>
      </c>
    </row>
    <row r="10">
      <c r="A10" s="3" t="inlineStr"/>
    </row>
    <row r="11">
      <c r="A11" s="3" t="inlineStr">
        <is>
          <t>■ 할 일 — 2026-04-07 의 지수 레벨을 구하십시오. (분할 이전 날짜라 기업행사 문제는 없습니다)</t>
        </is>
      </c>
    </row>
    <row r="12">
      <c r="A12" s="4" t="inlineStr">
        <is>
          <t xml:space="preserve">  목표비중(D열)은 주어져 있지 않습니다. 06 시트에서 직접 계산한 값을 옮겨 적으십시오.</t>
        </is>
      </c>
    </row>
    <row r="14">
      <c r="A14" s="7" t="inlineStr">
        <is>
          <t>환율 (ECOS 매매기준율, 평가일 당일 적용)</t>
        </is>
      </c>
    </row>
    <row r="15">
      <c r="A15" s="9" t="inlineStr">
        <is>
          <t>기준일 2026-04-01</t>
        </is>
      </c>
      <c r="C15" s="28" t="n">
        <v>1530.5</v>
      </c>
      <c r="E15" s="9" t="inlineStr">
        <is>
          <t>검산일 2026-04-07</t>
        </is>
      </c>
      <c r="G15" s="28" t="n">
        <v>1507.2</v>
      </c>
    </row>
    <row r="17">
      <c r="A17" s="8" t="inlineStr"/>
      <c r="B17" s="8" t="inlineStr">
        <is>
          <t>종목</t>
        </is>
      </c>
      <c r="C17" s="8" t="inlineStr">
        <is>
          <t>지역</t>
        </is>
      </c>
      <c r="D17" s="8" t="inlineStr">
        <is>
          <t>목표비중</t>
        </is>
      </c>
      <c r="E17" s="8" t="inlineStr">
        <is>
          <t>기준일 종가</t>
        </is>
      </c>
      <c r="F17" s="8" t="inlineStr">
        <is>
          <t>검산일 종가</t>
        </is>
      </c>
      <c r="G17" s="8" t="inlineStr">
        <is>
          <t>기준일 가격(원)</t>
        </is>
      </c>
      <c r="H17" s="8" t="inlineStr">
        <is>
          <t>검산일 가격(원)</t>
        </is>
      </c>
      <c r="I17" s="8" t="inlineStr">
        <is>
          <t>가격비</t>
        </is>
      </c>
      <c r="J17" s="8" t="inlineStr">
        <is>
          <t>비중×가격비</t>
        </is>
      </c>
    </row>
    <row r="18">
      <c r="A18" s="9" t="n"/>
      <c r="B18" s="14" t="inlineStr">
        <is>
          <t>010120</t>
        </is>
      </c>
      <c r="C18" s="14" t="inlineStr">
        <is>
          <t>KR</t>
        </is>
      </c>
      <c r="D18" s="25" t="n"/>
      <c r="E18" s="18" t="n">
        <v>794000</v>
      </c>
      <c r="F18" s="18" t="n">
        <v>788000</v>
      </c>
      <c r="G18" s="21" t="n"/>
      <c r="H18" s="21" t="n"/>
      <c r="I18" s="25" t="n"/>
      <c r="J18" s="25" t="n"/>
    </row>
    <row r="19">
      <c r="A19" s="9" t="n"/>
      <c r="B19" s="14" t="inlineStr">
        <is>
          <t>012450</t>
        </is>
      </c>
      <c r="C19" s="14" t="inlineStr">
        <is>
          <t>KR</t>
        </is>
      </c>
      <c r="D19" s="25" t="n"/>
      <c r="E19" s="18" t="n">
        <v>1333000</v>
      </c>
      <c r="F19" s="18" t="n">
        <v>1537000</v>
      </c>
      <c r="G19" s="21" t="n"/>
      <c r="H19" s="21" t="n"/>
      <c r="I19" s="25" t="n"/>
      <c r="J19" s="25" t="n"/>
    </row>
    <row r="20">
      <c r="A20" s="9" t="n"/>
      <c r="B20" s="14" t="inlineStr">
        <is>
          <t>064350</t>
        </is>
      </c>
      <c r="C20" s="14" t="inlineStr">
        <is>
          <t>KR</t>
        </is>
      </c>
      <c r="D20" s="25" t="n"/>
      <c r="E20" s="18" t="n">
        <v>188800</v>
      </c>
      <c r="F20" s="18" t="n">
        <v>211000</v>
      </c>
      <c r="G20" s="21" t="n"/>
      <c r="H20" s="21" t="n"/>
      <c r="I20" s="25" t="n"/>
      <c r="J20" s="25" t="n"/>
    </row>
    <row r="21">
      <c r="A21" s="9" t="n"/>
      <c r="B21" s="14" t="inlineStr">
        <is>
          <t>064400</t>
        </is>
      </c>
      <c r="C21" s="14" t="inlineStr">
        <is>
          <t>KR</t>
        </is>
      </c>
      <c r="D21" s="25" t="n"/>
      <c r="E21" s="18" t="n">
        <v>59500</v>
      </c>
      <c r="F21" s="18" t="n">
        <v>57100</v>
      </c>
      <c r="G21" s="21" t="n"/>
      <c r="H21" s="21" t="n"/>
      <c r="I21" s="25" t="n"/>
      <c r="J21" s="25" t="n"/>
    </row>
    <row r="22">
      <c r="A22" s="9" t="n"/>
      <c r="B22" s="14" t="inlineStr">
        <is>
          <t>079550</t>
        </is>
      </c>
      <c r="C22" s="14" t="inlineStr">
        <is>
          <t>KR</t>
        </is>
      </c>
      <c r="D22" s="25" t="n"/>
      <c r="E22" s="18" t="n">
        <v>794000</v>
      </c>
      <c r="F22" s="18" t="n">
        <v>827000</v>
      </c>
      <c r="G22" s="21" t="n"/>
      <c r="H22" s="21" t="n"/>
      <c r="I22" s="25" t="n"/>
      <c r="J22" s="25" t="n"/>
    </row>
    <row r="23">
      <c r="A23" s="9" t="n"/>
      <c r="B23" s="14" t="inlineStr">
        <is>
          <t>267260</t>
        </is>
      </c>
      <c r="C23" s="14" t="inlineStr">
        <is>
          <t>KR</t>
        </is>
      </c>
      <c r="D23" s="25" t="n"/>
      <c r="E23" s="18" t="n">
        <v>902000</v>
      </c>
      <c r="F23" s="18" t="n">
        <v>891000</v>
      </c>
      <c r="G23" s="21" t="n"/>
      <c r="H23" s="21" t="n"/>
      <c r="I23" s="25" t="n"/>
      <c r="J23" s="25" t="n"/>
    </row>
    <row r="24">
      <c r="A24" s="9" t="n"/>
      <c r="B24" s="14" t="inlineStr">
        <is>
          <t>298040</t>
        </is>
      </c>
      <c r="C24" s="14" t="inlineStr">
        <is>
          <t>KR</t>
        </is>
      </c>
      <c r="D24" s="25" t="n"/>
      <c r="E24" s="18" t="n">
        <v>2653000</v>
      </c>
      <c r="F24" s="18" t="n">
        <v>2610000</v>
      </c>
      <c r="G24" s="21" t="n"/>
      <c r="H24" s="21" t="n"/>
      <c r="I24" s="25" t="n"/>
      <c r="J24" s="25" t="n"/>
    </row>
    <row r="25">
      <c r="A25" s="9" t="n"/>
      <c r="B25" s="14" t="inlineStr">
        <is>
          <t>307950</t>
        </is>
      </c>
      <c r="C25" s="14" t="inlineStr">
        <is>
          <t>KR</t>
        </is>
      </c>
      <c r="D25" s="25" t="n"/>
      <c r="E25" s="18" t="n">
        <v>391000</v>
      </c>
      <c r="F25" s="18" t="n">
        <v>370000</v>
      </c>
      <c r="G25" s="21" t="n"/>
      <c r="H25" s="21" t="n"/>
      <c r="I25" s="25" t="n"/>
      <c r="J25" s="25" t="n"/>
    </row>
    <row r="26">
      <c r="A26" s="9" t="n"/>
      <c r="B26" s="14" t="inlineStr">
        <is>
          <t>ALAB</t>
        </is>
      </c>
      <c r="C26" s="14" t="inlineStr">
        <is>
          <t>US</t>
        </is>
      </c>
      <c r="D26" s="25" t="n"/>
      <c r="E26" s="18" t="n">
        <v>106.33</v>
      </c>
      <c r="F26" s="18" t="n">
        <v>118.99</v>
      </c>
      <c r="G26" s="21" t="n"/>
      <c r="H26" s="21" t="n"/>
      <c r="I26" s="25" t="n"/>
      <c r="J26" s="25" t="n"/>
    </row>
    <row r="27">
      <c r="A27" s="9" t="n"/>
      <c r="B27" s="14" t="inlineStr">
        <is>
          <t>ANET</t>
        </is>
      </c>
      <c r="C27" s="14" t="inlineStr">
        <is>
          <t>US</t>
        </is>
      </c>
      <c r="D27" s="25" t="n"/>
      <c r="E27" s="18" t="n">
        <v>124.85</v>
      </c>
      <c r="F27" s="18" t="n">
        <v>133.64</v>
      </c>
      <c r="G27" s="21" t="n"/>
      <c r="H27" s="21" t="n"/>
      <c r="I27" s="25" t="n"/>
      <c r="J27" s="25" t="n"/>
    </row>
    <row r="28">
      <c r="A28" s="9" t="n"/>
      <c r="B28" s="14" t="inlineStr">
        <is>
          <t>APH</t>
        </is>
      </c>
      <c r="C28" s="14" t="inlineStr">
        <is>
          <t>US</t>
        </is>
      </c>
      <c r="D28" s="25" t="n"/>
      <c r="E28" s="18" t="n">
        <v>127.7</v>
      </c>
      <c r="F28" s="18" t="n">
        <v>128.38</v>
      </c>
      <c r="G28" s="21" t="n"/>
      <c r="H28" s="21" t="n"/>
      <c r="I28" s="25" t="n"/>
      <c r="J28" s="25" t="n"/>
    </row>
    <row r="29">
      <c r="A29" s="9" t="n"/>
      <c r="B29" s="14" t="inlineStr">
        <is>
          <t>ETN</t>
        </is>
      </c>
      <c r="C29" s="14" t="inlineStr">
        <is>
          <t>US</t>
        </is>
      </c>
      <c r="D29" s="25" t="n"/>
      <c r="E29" s="18" t="n">
        <v>365.56</v>
      </c>
      <c r="F29" s="18" t="n">
        <v>368.85</v>
      </c>
      <c r="G29" s="21" t="n"/>
      <c r="H29" s="21" t="n"/>
      <c r="I29" s="25" t="n"/>
      <c r="J29" s="25" t="n"/>
    </row>
    <row r="30">
      <c r="A30" s="9" t="n"/>
      <c r="B30" s="14" t="inlineStr">
        <is>
          <t>GEV</t>
        </is>
      </c>
      <c r="C30" s="14" t="inlineStr">
        <is>
          <t>US</t>
        </is>
      </c>
      <c r="D30" s="25" t="n"/>
      <c r="E30" s="18" t="n">
        <v>894.78</v>
      </c>
      <c r="F30" s="18" t="n">
        <v>910.75</v>
      </c>
      <c r="G30" s="21" t="n"/>
      <c r="H30" s="21" t="n"/>
      <c r="I30" s="25" t="n"/>
      <c r="J30" s="25" t="n"/>
    </row>
    <row r="31">
      <c r="A31" s="9" t="n"/>
      <c r="B31" s="14" t="inlineStr">
        <is>
          <t>KTOS</t>
        </is>
      </c>
      <c r="C31" s="14" t="inlineStr">
        <is>
          <t>US</t>
        </is>
      </c>
      <c r="D31" s="25" t="n"/>
      <c r="E31" s="18" t="n">
        <v>67.7</v>
      </c>
      <c r="F31" s="18" t="n">
        <v>71.95999999999999</v>
      </c>
      <c r="G31" s="21" t="n"/>
      <c r="H31" s="21" t="n"/>
      <c r="I31" s="25" t="n"/>
      <c r="J31" s="25" t="n"/>
    </row>
    <row r="32">
      <c r="A32" s="9" t="n"/>
      <c r="B32" s="14" t="inlineStr">
        <is>
          <t>TER</t>
        </is>
      </c>
      <c r="C32" s="14" t="inlineStr">
        <is>
          <t>US</t>
        </is>
      </c>
      <c r="D32" s="25" t="n"/>
      <c r="E32" s="18" t="n">
        <v>312.2</v>
      </c>
      <c r="F32" s="18" t="n">
        <v>320.48</v>
      </c>
      <c r="G32" s="21" t="n"/>
      <c r="H32" s="21" t="n"/>
      <c r="I32" s="25" t="n"/>
      <c r="J32" s="25" t="n"/>
    </row>
    <row r="33">
      <c r="I33" s="26" t="inlineStr">
        <is>
          <t>합계</t>
        </is>
      </c>
      <c r="J33" s="25" t="n"/>
    </row>
    <row r="35">
      <c r="A35" s="7" t="inlineStr">
        <is>
          <t>답</t>
        </is>
      </c>
    </row>
    <row r="36">
      <c r="A36" s="9" t="inlineStr">
        <is>
          <t>2026-04-07 지수 레벨 = 1000 × 합계</t>
        </is>
      </c>
      <c r="B36" s="22" t="n"/>
      <c r="C36" s="23" t="n"/>
      <c r="D36" s="29" t="n"/>
    </row>
    <row r="38">
      <c r="A38" s="5" t="inlineStr">
        <is>
          <t>■ 틀리기 쉬운 곳</t>
        </is>
      </c>
    </row>
    <row r="39">
      <c r="A39" s="6" t="inlineStr">
        <is>
          <t xml:space="preserve">  한국 종목에 환율을 곱하면 안 됩니다. 이미 원화입니다.</t>
        </is>
      </c>
    </row>
    <row r="40">
      <c r="A40" s="6" t="inlineStr">
        <is>
          <t xml:space="preserve">  미국 종목은 기준일과 검산일에 서로 다른 환율을 씁니다. 같은 환율을 쓰면 환율 변동분이 사라집니다.</t>
        </is>
      </c>
    </row>
    <row r="41">
      <c r="A41" s="6" t="inlineStr">
        <is>
          <t xml:space="preserve">  비중은 소수점 아래가 깁니다(1/18 = 0.055556). 반올림하면 합계가 어긋납니다.</t>
        </is>
      </c>
    </row>
  </sheetData>
  <mergeCells count="14">
    <mergeCell ref="A5:J5"/>
    <mergeCell ref="A36:C36"/>
    <mergeCell ref="A8:J8"/>
    <mergeCell ref="A6:J6"/>
    <mergeCell ref="A40:J40"/>
    <mergeCell ref="A9:J9"/>
    <mergeCell ref="A39:J39"/>
    <mergeCell ref="A12:J12"/>
    <mergeCell ref="A4:J4"/>
    <mergeCell ref="A7:J7"/>
    <mergeCell ref="A38:J38"/>
    <mergeCell ref="A10:J10"/>
    <mergeCell ref="A41:J41"/>
    <mergeCell ref="A11:J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34" customWidth="1" min="7" max="7"/>
  </cols>
  <sheetData>
    <row r="1" ht="24" customHeight="1">
      <c r="A1" s="1" t="inlineStr">
        <is>
          <t>010120 액면분할 5:1 — 반영했을 때와 안 했을 때</t>
        </is>
      </c>
    </row>
    <row r="2">
      <c r="A2" s="2" t="inlineStr">
        <is>
          <t>데이터사전 4.1 · D-07 · DART 20260205800493 / 20260205800571(정정)</t>
        </is>
      </c>
    </row>
    <row r="4">
      <c r="A4" s="3" t="inlineStr">
        <is>
          <t>■ 무슨 일이 있었나</t>
        </is>
      </c>
    </row>
    <row r="5">
      <c r="A5" s="4" t="inlineStr">
        <is>
          <t xml:space="preserve">  2026-02-05 이사회에서 1주를 5주로 쪼개기로 결정했습니다(액면가 5,000원 → 1,000원).</t>
        </is>
      </c>
    </row>
    <row r="6">
      <c r="A6" s="4" t="inlineStr">
        <is>
          <t xml:space="preserve">  2026-04-08~10 사흘간 거래가 정지됐고 04-13에 재개됐습니다.</t>
        </is>
      </c>
    </row>
    <row r="7">
      <c r="A7" s="4" t="inlineStr">
        <is>
          <t xml:space="preserve">  재산은 그대로인데 주가 숫자만 1/5이 됩니다. 이것을 반영하지 않으면 주가가 폭락한 것처럼 보입니다.</t>
        </is>
      </c>
    </row>
    <row r="8">
      <c r="A8" s="3" t="inlineStr"/>
    </row>
    <row r="9">
      <c r="A9" s="3" t="inlineStr">
        <is>
          <t>■ 조정 방법 (데이터사전 4.1)</t>
        </is>
      </c>
    </row>
    <row r="10">
      <c r="A10" s="4" t="inlineStr">
        <is>
          <t xml:space="preserve">  효력일(2026-04-13) '이전' 가격을 분할비율 5로 나눕니다. 이후 가격은 그대로 둡니다.</t>
        </is>
      </c>
    </row>
    <row r="11">
      <c r="A11" s="4" t="inlineStr">
        <is>
          <t xml:space="preserve">  거래정지 기간의 가격도 분할 전 기준이므로 함께 나눕니다.</t>
        </is>
      </c>
    </row>
    <row r="12">
      <c r="A12" s="3" t="inlineStr"/>
    </row>
    <row r="13">
      <c r="A13" s="3" t="inlineStr">
        <is>
          <t>■ 할 일 — 아래 두 열을 채우고 04-13의 수익률을 두 가지로 구해 비교하십시오.</t>
        </is>
      </c>
    </row>
    <row r="15">
      <c r="A15" s="8" t="inlineStr"/>
      <c r="B15" s="8" t="inlineStr">
        <is>
          <t>날짜</t>
        </is>
      </c>
      <c r="C15" s="8" t="inlineStr">
        <is>
          <t>원종가</t>
        </is>
      </c>
      <c r="D15" s="8" t="inlineStr">
        <is>
          <t>상태코드</t>
        </is>
      </c>
      <c r="E15" s="8" t="inlineStr">
        <is>
          <t>분할조정 종가</t>
        </is>
      </c>
      <c r="F15" s="8" t="inlineStr">
        <is>
          <t>전일대비 수익률</t>
        </is>
      </c>
      <c r="G15" s="8" t="inlineStr">
        <is>
          <t>메모</t>
        </is>
      </c>
    </row>
    <row r="16">
      <c r="A16" s="9" t="n"/>
      <c r="B16" s="9" t="inlineStr">
        <is>
          <t>2026-04-06</t>
        </is>
      </c>
      <c r="C16" s="19" t="n">
        <v>799000</v>
      </c>
      <c r="D16" s="14" t="inlineStr">
        <is>
          <t>TRADED</t>
        </is>
      </c>
      <c r="E16" s="30" t="n"/>
      <c r="F16" s="31" t="n"/>
      <c r="G16" s="11" t="n"/>
    </row>
    <row r="17">
      <c r="A17" s="9" t="n"/>
      <c r="B17" s="9" t="inlineStr">
        <is>
          <t>2026-04-07</t>
        </is>
      </c>
      <c r="C17" s="19" t="n">
        <v>788000</v>
      </c>
      <c r="D17" s="14" t="inlineStr">
        <is>
          <t>TRADED</t>
        </is>
      </c>
      <c r="E17" s="30" t="n"/>
      <c r="F17" s="31" t="n"/>
      <c r="G17" s="11" t="n"/>
    </row>
    <row r="18">
      <c r="A18" s="9" t="n"/>
      <c r="B18" s="9" t="inlineStr">
        <is>
          <t>2026-04-08</t>
        </is>
      </c>
      <c r="C18" s="19" t="n">
        <v>788000</v>
      </c>
      <c r="D18" s="14" t="inlineStr">
        <is>
          <t>TRADING_HALT</t>
        </is>
      </c>
      <c r="E18" s="30" t="n"/>
      <c r="F18" s="31" t="n"/>
      <c r="G18" s="11" t="n"/>
    </row>
    <row r="19">
      <c r="A19" s="9" t="n"/>
      <c r="B19" s="9" t="inlineStr">
        <is>
          <t>2026-04-09</t>
        </is>
      </c>
      <c r="C19" s="19" t="n">
        <v>788000</v>
      </c>
      <c r="D19" s="14" t="inlineStr">
        <is>
          <t>TRADING_HALT</t>
        </is>
      </c>
      <c r="E19" s="30" t="n"/>
      <c r="F19" s="31" t="n"/>
      <c r="G19" s="11" t="n"/>
    </row>
    <row r="20">
      <c r="A20" s="9" t="n"/>
      <c r="B20" s="9" t="inlineStr">
        <is>
          <t>2026-04-10</t>
        </is>
      </c>
      <c r="C20" s="19" t="n">
        <v>788000</v>
      </c>
      <c r="D20" s="14" t="inlineStr">
        <is>
          <t>TRADING_HALT</t>
        </is>
      </c>
      <c r="E20" s="30" t="n"/>
      <c r="F20" s="31" t="n"/>
      <c r="G20" s="11" t="n"/>
    </row>
    <row r="21">
      <c r="A21" s="9" t="n"/>
      <c r="B21" s="9" t="inlineStr">
        <is>
          <t>2026-04-13</t>
        </is>
      </c>
      <c r="C21" s="19" t="n">
        <v>179200</v>
      </c>
      <c r="D21" s="14" t="inlineStr">
        <is>
          <t>TRADED</t>
        </is>
      </c>
      <c r="E21" s="30" t="n"/>
      <c r="F21" s="31" t="n"/>
      <c r="G21" s="11" t="n"/>
    </row>
    <row r="22">
      <c r="A22" s="9" t="n"/>
      <c r="B22" s="9" t="inlineStr">
        <is>
          <t>2026-04-14</t>
        </is>
      </c>
      <c r="C22" s="19" t="n">
        <v>185600</v>
      </c>
      <c r="D22" s="14" t="inlineStr">
        <is>
          <t>TRADED</t>
        </is>
      </c>
      <c r="E22" s="30" t="n"/>
      <c r="F22" s="31" t="n"/>
      <c r="G22" s="11" t="n"/>
    </row>
    <row r="23">
      <c r="A23" s="9" t="n"/>
      <c r="B23" s="9" t="inlineStr">
        <is>
          <t>2026-04-15</t>
        </is>
      </c>
      <c r="C23" s="19" t="n">
        <v>186800</v>
      </c>
      <c r="D23" s="14" t="inlineStr">
        <is>
          <t>TRADED</t>
        </is>
      </c>
      <c r="E23" s="30" t="n"/>
      <c r="F23" s="31" t="n"/>
      <c r="G23" s="11" t="n"/>
    </row>
    <row r="24">
      <c r="A24" s="9" t="n"/>
      <c r="B24" s="9" t="inlineStr">
        <is>
          <t>2026-04-16</t>
        </is>
      </c>
      <c r="C24" s="19" t="n">
        <v>188600</v>
      </c>
      <c r="D24" s="14" t="inlineStr">
        <is>
          <t>TRADED</t>
        </is>
      </c>
      <c r="E24" s="30" t="n"/>
      <c r="F24" s="31" t="n"/>
      <c r="G24" s="11" t="n"/>
    </row>
    <row r="26">
      <c r="A26" s="7" t="inlineStr">
        <is>
          <t>04-13 수익률 비교</t>
        </is>
      </c>
    </row>
    <row r="27">
      <c r="A27" s="9" t="inlineStr">
        <is>
          <t>① 조정 안 했을 때 (원종가 그대로)</t>
        </is>
      </c>
      <c r="B27" s="23" t="n"/>
      <c r="C27" s="32" t="n"/>
      <c r="D27" s="17" t="inlineStr">
        <is>
          <t>179,200 ÷ 788,000 − 1</t>
        </is>
      </c>
    </row>
    <row r="28">
      <c r="A28" s="9" t="inlineStr">
        <is>
          <t>② 조정 했을 때</t>
        </is>
      </c>
      <c r="B28" s="23" t="n"/>
      <c r="C28" s="32" t="n"/>
      <c r="D28" s="17" t="inlineStr">
        <is>
          <t>179,200 ÷ (788,000÷5) − 1</t>
        </is>
      </c>
    </row>
    <row r="29">
      <c r="A29" s="9" t="inlineStr">
        <is>
          <t>③ 차이 (① − ②)</t>
        </is>
      </c>
      <c r="B29" s="23" t="n"/>
      <c r="C29" s="32" t="n"/>
      <c r="D29" s="17" t="inlineStr">
        <is>
          <t>이만큼이 실재하지 않는 하락입니다</t>
        </is>
      </c>
    </row>
    <row r="30">
      <c r="A30" s="9" t="inlineStr">
        <is>
          <t>④ 지수에 준 영향 = ③ × 010120 목표비중</t>
        </is>
      </c>
      <c r="B30" s="23" t="n"/>
      <c r="C30" s="32" t="n"/>
      <c r="D30" s="17" t="inlineStr">
        <is>
          <t>비중은 06 시트에서</t>
        </is>
      </c>
    </row>
    <row r="32">
      <c r="A32" s="5" t="inlineStr">
        <is>
          <t>■ 자기 점검 — 여기가 가장 중요합니다</t>
        </is>
      </c>
    </row>
    <row r="33">
      <c r="A33" s="6" t="inlineStr">
        <is>
          <t xml:space="preserve">  조정한 뒤 04-13의 수익률이 0% 가 나왔다면 두 번 나눈 것입니다(과보정). 다시 확인하십시오.</t>
        </is>
      </c>
    </row>
    <row r="34">
      <c r="A34" s="6" t="inlineStr">
        <is>
          <t xml:space="preserve">  올바르게 조정하면 04-13은 '플러스' 수익률이 나옵니다. 분할 기준가보다 높게 거래가 재개됐기 때문입니다.</t>
        </is>
      </c>
    </row>
    <row r="35">
      <c r="A35" s="6" t="inlineStr">
        <is>
          <t xml:space="preserve">  → 실제 시장이 분할을 호재로 봤다는 뜻이고, 그것이 진짜 정보입니다. 조정 전 숫자는 그것을 지워버립니다.</t>
        </is>
      </c>
    </row>
    <row r="36">
      <c r="A36" s="5" t="inlineStr"/>
    </row>
    <row r="37">
      <c r="A37" s="5" t="inlineStr">
        <is>
          <t>■ 조정 경계일을 04-10(효력발생일)으로 잡으면 어떻게 됩니까?</t>
        </is>
      </c>
    </row>
    <row r="38">
      <c r="A38" s="6" t="inlineStr">
        <is>
          <t xml:space="preserve">  공시에는 신주 효력발생일이 04-10, 신주권상장일이 04-13으로 따로 적혀 있습니다.</t>
        </is>
      </c>
    </row>
    <row r="39">
      <c r="A39" s="6" t="inlineStr">
        <is>
          <t xml:space="preserve">  04-10을 경계로 잡으면 정지 기간의 가격이 조정되지 않아 왜곡이 04-13에서 04-10으로 자리만 옮깁니다.</t>
        </is>
      </c>
    </row>
    <row r="40">
      <c r="A40" s="6" t="inlineStr">
        <is>
          <t xml:space="preserve">  → 가격 계열에서는 거래가 실제로 재개된 04-13이 경계입니다. 직접 확인해 보십시오.</t>
        </is>
      </c>
    </row>
  </sheetData>
  <mergeCells count="27">
    <mergeCell ref="A32:G32"/>
    <mergeCell ref="A30:B30"/>
    <mergeCell ref="A8:G8"/>
    <mergeCell ref="A35:G35"/>
    <mergeCell ref="A4:G4"/>
    <mergeCell ref="D30:G30"/>
    <mergeCell ref="A38:G38"/>
    <mergeCell ref="D29:G29"/>
    <mergeCell ref="A10:G10"/>
    <mergeCell ref="A13:G13"/>
    <mergeCell ref="A40:G40"/>
    <mergeCell ref="A9:G9"/>
    <mergeCell ref="A39:G39"/>
    <mergeCell ref="A34:G34"/>
    <mergeCell ref="A27:B27"/>
    <mergeCell ref="A11:G11"/>
    <mergeCell ref="A36:G36"/>
    <mergeCell ref="A6:G6"/>
    <mergeCell ref="A7:G7"/>
    <mergeCell ref="D27:G27"/>
    <mergeCell ref="A37:G37"/>
    <mergeCell ref="A29:B29"/>
    <mergeCell ref="A12:G12"/>
    <mergeCell ref="A28:B28"/>
    <mergeCell ref="A33:G33"/>
    <mergeCell ref="D28:G28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12" customWidth="1" min="4" max="4"/>
    <col width="20" customWidth="1" min="5" max="5"/>
    <col width="20" customWidth="1" min="6" max="6"/>
    <col width="14" customWidth="1" min="7" max="7"/>
    <col width="40" customWidth="1" min="8" max="8"/>
  </cols>
  <sheetData>
    <row r="1" ht="24" customHeight="1">
      <c r="A1" s="1" t="inlineStr">
        <is>
          <t>수기값 · 코드값 대조표</t>
        </is>
      </c>
    </row>
    <row r="2">
      <c r="A2" s="2" t="inlineStr">
        <is>
          <t>노란 칸을 전부 채우고 저장한 뒤에 J5_코드값_봉인.xlsx 를 열어 F열을 채웁니다</t>
        </is>
      </c>
    </row>
    <row r="4">
      <c r="A4" s="5" t="inlineStr">
        <is>
          <t>■ 순서</t>
        </is>
      </c>
    </row>
    <row r="5">
      <c r="A5" s="6" t="inlineStr">
        <is>
          <t xml:space="preserve">  ① 앞 시트의 답 칸을 E열에 옮겨 적습니다.  ② 이 파일을 저장합니다.</t>
        </is>
      </c>
    </row>
    <row r="6">
      <c r="A6" s="6" t="inlineStr">
        <is>
          <t xml:space="preserve">  ③ 그 다음에 봉인 파일을 열어 F열을 채웁니다.  ④ G열에 일치 여부를 고릅니다.</t>
        </is>
      </c>
    </row>
    <row r="7">
      <c r="A7" s="6" t="inlineStr">
        <is>
          <t xml:space="preserve">  불일치가 나오면 반드시 H열에 원인을 적습니다. 불일치를 지우지 마십시오 — 그것이 검산의 성과입니다.</t>
        </is>
      </c>
    </row>
    <row r="9">
      <c r="A9" s="8" t="inlineStr"/>
      <c r="B9" s="8" t="inlineStr">
        <is>
          <t>시트</t>
        </is>
      </c>
      <c r="C9" s="8" t="inlineStr">
        <is>
          <t>검산 항목</t>
        </is>
      </c>
      <c r="D9" s="8" t="inlineStr">
        <is>
          <t>단위</t>
        </is>
      </c>
      <c r="E9" s="8" t="inlineStr">
        <is>
          <t>수기값</t>
        </is>
      </c>
      <c r="F9" s="8" t="inlineStr">
        <is>
          <t>코드값</t>
        </is>
      </c>
      <c r="G9" s="8" t="inlineStr">
        <is>
          <t>판정</t>
        </is>
      </c>
      <c r="H9" s="8" t="inlineStr">
        <is>
          <t>불일치 원인 / 메모</t>
        </is>
      </c>
    </row>
    <row r="10">
      <c r="A10" s="14" t="inlineStr">
        <is>
          <t>A</t>
        </is>
      </c>
      <c r="B10" s="14" t="inlineStr">
        <is>
          <t>02</t>
        </is>
      </c>
      <c r="C10" s="9" t="inlineStr">
        <is>
          <t>자료마감일</t>
        </is>
      </c>
      <c r="D10" s="14" t="inlineStr">
        <is>
          <t>날짜</t>
        </is>
      </c>
      <c r="E10" s="11" t="n"/>
      <c r="F10" s="11" t="n"/>
      <c r="G10" s="16" t="n"/>
      <c r="H10" s="11" t="n"/>
    </row>
    <row r="11">
      <c r="A11" s="14" t="inlineStr">
        <is>
          <t>B</t>
        </is>
      </c>
      <c r="B11" s="14" t="inlineStr">
        <is>
          <t>03-04</t>
        </is>
      </c>
      <c r="C11" s="9" t="inlineStr">
        <is>
          <t>KTOS ADTV90</t>
        </is>
      </c>
      <c r="D11" s="14" t="inlineStr">
        <is>
          <t>USD</t>
        </is>
      </c>
      <c r="E11" s="11" t="n"/>
      <c r="F11" s="11" t="n"/>
      <c r="G11" s="16" t="n"/>
      <c r="H11" s="11" t="n"/>
    </row>
    <row r="12">
      <c r="A12" s="14" t="inlineStr">
        <is>
          <t>C</t>
        </is>
      </c>
      <c r="B12" s="14" t="inlineStr">
        <is>
          <t>03-04</t>
        </is>
      </c>
      <c r="C12" s="9" t="inlineStr">
        <is>
          <t>ADTV90 분모(개장일수)</t>
        </is>
      </c>
      <c r="D12" s="14" t="inlineStr">
        <is>
          <t>일</t>
        </is>
      </c>
      <c r="E12" s="11" t="n"/>
      <c r="F12" s="11" t="n"/>
      <c r="G12" s="16" t="n"/>
      <c r="H12" s="11" t="n"/>
    </row>
    <row r="13">
      <c r="A13" s="14" t="inlineStr">
        <is>
          <t>D</t>
        </is>
      </c>
      <c r="B13" s="14" t="inlineStr">
        <is>
          <t>05</t>
        </is>
      </c>
      <c r="C13" s="9" t="inlineStr">
        <is>
          <t>미국 P10 하한</t>
        </is>
      </c>
      <c r="D13" s="14" t="inlineStr">
        <is>
          <t>USD</t>
        </is>
      </c>
      <c r="E13" s="11" t="n"/>
      <c r="F13" s="11" t="n"/>
      <c r="G13" s="16" t="n"/>
      <c r="H13" s="11" t="n"/>
    </row>
    <row r="14">
      <c r="A14" s="14" t="inlineStr">
        <is>
          <t>E</t>
        </is>
      </c>
      <c r="B14" s="14" t="inlineStr">
        <is>
          <t>05</t>
        </is>
      </c>
      <c r="C14" s="9" t="inlineStr">
        <is>
          <t>KTOS 편입 여부</t>
        </is>
      </c>
      <c r="D14" s="14" t="inlineStr">
        <is>
          <t>편입/제외</t>
        </is>
      </c>
      <c r="E14" s="11" t="n"/>
      <c r="F14" s="11" t="n"/>
      <c r="G14" s="16" t="n"/>
      <c r="H14" s="11" t="n"/>
    </row>
    <row r="15">
      <c r="A15" s="14" t="inlineStr">
        <is>
          <t>F</t>
        </is>
      </c>
      <c r="B15" s="14" t="inlineStr">
        <is>
          <t>05</t>
        </is>
      </c>
      <c r="C15" s="9" t="inlineStr">
        <is>
          <t>P10 미만 종목 수</t>
        </is>
      </c>
      <c r="D15" s="14" t="inlineStr">
        <is>
          <t>개</t>
        </is>
      </c>
      <c r="E15" s="11" t="n"/>
      <c r="F15" s="11" t="n"/>
      <c r="G15" s="16" t="n"/>
      <c r="H15" s="11" t="n"/>
    </row>
    <row r="16">
      <c r="A16" s="14" t="inlineStr">
        <is>
          <t>G</t>
        </is>
      </c>
      <c r="B16" s="14" t="inlineStr">
        <is>
          <t>05</t>
        </is>
      </c>
      <c r="C16" s="9" t="inlineStr">
        <is>
          <t>2종목 이상 탈락에 필요한 최소 n</t>
        </is>
      </c>
      <c r="D16" s="14" t="inlineStr">
        <is>
          <t>개</t>
        </is>
      </c>
      <c r="E16" s="11" t="n"/>
      <c r="F16" s="11" t="n"/>
      <c r="G16" s="16" t="n"/>
      <c r="H16" s="11" t="n"/>
    </row>
    <row r="17">
      <c r="A17" s="14" t="inlineStr">
        <is>
          <t>H</t>
        </is>
      </c>
      <c r="B17" s="14" t="inlineStr">
        <is>
          <t>06</t>
        </is>
      </c>
      <c r="C17" s="9" t="inlineStr">
        <is>
          <t>목표비중 합계 (3/31 회차)</t>
        </is>
      </c>
      <c r="D17" s="14" t="inlineStr">
        <is>
          <t>비율</t>
        </is>
      </c>
      <c r="E17" s="11" t="n"/>
      <c r="F17" s="11" t="n"/>
      <c r="G17" s="16" t="n"/>
      <c r="H17" s="11" t="n"/>
    </row>
    <row r="18">
      <c r="A18" s="14" t="inlineStr">
        <is>
          <t>I</t>
        </is>
      </c>
      <c r="B18" s="14" t="inlineStr">
        <is>
          <t>06</t>
        </is>
      </c>
      <c r="C18" s="9" t="inlineStr">
        <is>
          <t>최대 비중 종목의 비중 (3/31 회차)</t>
        </is>
      </c>
      <c r="D18" s="14" t="inlineStr">
        <is>
          <t>%</t>
        </is>
      </c>
      <c r="E18" s="11" t="n"/>
      <c r="F18" s="11" t="n"/>
      <c r="G18" s="16" t="n"/>
      <c r="H18" s="11" t="n"/>
    </row>
    <row r="19">
      <c r="A19" s="14" t="inlineStr">
        <is>
          <t>J</t>
        </is>
      </c>
      <c r="B19" s="14" t="inlineStr">
        <is>
          <t>07</t>
        </is>
      </c>
      <c r="C19" s="9" t="inlineStr">
        <is>
          <t>2026-04-07 지수 레벨</t>
        </is>
      </c>
      <c r="D19" s="14" t="inlineStr">
        <is>
          <t>포인트</t>
        </is>
      </c>
      <c r="E19" s="11" t="n"/>
      <c r="F19" s="11" t="n"/>
      <c r="G19" s="16" t="n"/>
      <c r="H19" s="11" t="n"/>
    </row>
    <row r="20">
      <c r="A20" s="14" t="inlineStr">
        <is>
          <t>K</t>
        </is>
      </c>
      <c r="B20" s="14" t="inlineStr">
        <is>
          <t>08</t>
        </is>
      </c>
      <c r="C20" s="9" t="inlineStr">
        <is>
          <t>04-13 조정 전 수익률</t>
        </is>
      </c>
      <c r="D20" s="14" t="inlineStr">
        <is>
          <t>%</t>
        </is>
      </c>
      <c r="E20" s="11" t="n"/>
      <c r="F20" s="11" t="n"/>
      <c r="G20" s="16" t="n"/>
      <c r="H20" s="11" t="n"/>
    </row>
    <row r="21">
      <c r="A21" s="14" t="inlineStr">
        <is>
          <t>L</t>
        </is>
      </c>
      <c r="B21" s="14" t="inlineStr">
        <is>
          <t>08</t>
        </is>
      </c>
      <c r="C21" s="9" t="inlineStr">
        <is>
          <t>04-13 조정 후 수익률</t>
        </is>
      </c>
      <c r="D21" s="14" t="inlineStr">
        <is>
          <t>%</t>
        </is>
      </c>
      <c r="E21" s="11" t="n"/>
      <c r="F21" s="11" t="n"/>
      <c r="G21" s="16" t="n"/>
      <c r="H21" s="11" t="n"/>
    </row>
    <row r="23">
      <c r="A23" s="7" t="inlineStr">
        <is>
          <t>종합</t>
        </is>
      </c>
    </row>
    <row r="24">
      <c r="A24" s="9" t="inlineStr">
        <is>
          <t>일치 항목 수</t>
        </is>
      </c>
      <c r="B24" s="22" t="n"/>
      <c r="C24" s="23" t="n"/>
      <c r="D24" s="12" t="n"/>
    </row>
    <row r="25">
      <c r="A25" s="9" t="inlineStr">
        <is>
          <t>불일치 항목 수</t>
        </is>
      </c>
      <c r="B25" s="22" t="n"/>
      <c r="C25" s="23" t="n"/>
      <c r="D25" s="12" t="n"/>
    </row>
    <row r="26">
      <c r="A26" s="9" t="inlineStr">
        <is>
          <t>검산 결론 (한 문장)</t>
        </is>
      </c>
      <c r="B26" s="22" t="n"/>
      <c r="C26" s="23" t="n"/>
      <c r="D26" s="12" t="n"/>
    </row>
  </sheetData>
  <mergeCells count="10">
    <mergeCell ref="A4:H4"/>
    <mergeCell ref="A25:C25"/>
    <mergeCell ref="D25:H25"/>
    <mergeCell ref="A7:H7"/>
    <mergeCell ref="D24:H24"/>
    <mergeCell ref="A5:H5"/>
    <mergeCell ref="A26:C26"/>
    <mergeCell ref="A24:C24"/>
    <mergeCell ref="A6:H6"/>
    <mergeCell ref="D26:H26"/>
  </mergeCells>
  <dataValidations count="1">
    <dataValidation sqref="G10 G11 G12 G13 G14 G15 G16 G17 G18 G19 G20 G21" showDropDown="0" showInputMessage="0" showErrorMessage="0" allowBlank="1" type="list">
      <formula1>"일치,불일치,미확인"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6" customWidth="1" min="4" max="4"/>
    <col width="12" customWidth="1" min="5" max="5"/>
    <col width="46" customWidth="1" min="6" max="6"/>
  </cols>
  <sheetData>
    <row r="1" ht="24" customHeight="1">
      <c r="A1" s="1" t="inlineStr">
        <is>
          <t>발표용 요약 — 채우고 나면 이 시트를 그대로 쓸 수 있습니다</t>
        </is>
      </c>
    </row>
    <row r="2">
      <c r="A2" s="2" t="inlineStr">
        <is>
          <t>무엇을 검증했고 무엇이 확인됐는지 한 장으로 보여 주는 용도</t>
        </is>
      </c>
    </row>
    <row r="4">
      <c r="A4" s="3" t="inlineStr">
        <is>
          <t>■ 이 시트의 쓰임</t>
        </is>
      </c>
    </row>
    <row r="5">
      <c r="A5" s="4" t="inlineStr">
        <is>
          <t xml:space="preserve">  대조표를 채운 뒤 결과를 여기에 옮기면 발표 슬라이드 한 장이 됩니다.</t>
        </is>
      </c>
    </row>
    <row r="6">
      <c r="A6" s="4" t="inlineStr">
        <is>
          <t xml:space="preserve">  성과 숫자가 아니라 '우리 숫자를 어디까지 믿을 수 있는지'를 보여 주는 자료입니다.</t>
        </is>
      </c>
    </row>
    <row r="8">
      <c r="A8" s="7" t="inlineStr">
        <is>
          <t>검증 결과</t>
        </is>
      </c>
    </row>
    <row r="9">
      <c r="A9" s="8" t="inlineStr"/>
      <c r="B9" s="8" t="inlineStr">
        <is>
          <t>검증한 것</t>
        </is>
      </c>
      <c r="C9" s="8" t="inlineStr">
        <is>
          <t>수기값</t>
        </is>
      </c>
      <c r="D9" s="8" t="inlineStr">
        <is>
          <t>코드값</t>
        </is>
      </c>
      <c r="E9" s="8" t="inlineStr">
        <is>
          <t>판정</t>
        </is>
      </c>
      <c r="F9" s="8" t="inlineStr">
        <is>
          <t>이 항목이 확인해 주는 것</t>
        </is>
      </c>
    </row>
    <row r="10">
      <c r="A10" s="14" t="inlineStr">
        <is>
          <t>A</t>
        </is>
      </c>
      <c r="B10" s="9" t="inlineStr">
        <is>
          <t>자료마감일</t>
        </is>
      </c>
      <c r="C10" s="11">
        <f>'09 대조표'!E10</f>
        <v/>
      </c>
      <c r="D10" s="11">
        <f>'09 대조표'!F10</f>
        <v/>
      </c>
      <c r="E10" s="16">
        <f>'09 대조표'!G10</f>
        <v/>
      </c>
      <c r="F10" s="15" t="inlineStr">
        <is>
          <t>미래 정보가 섞이지 않았다 (PIT)</t>
        </is>
      </c>
    </row>
    <row r="11">
      <c r="A11" s="14" t="inlineStr">
        <is>
          <t>B</t>
        </is>
      </c>
      <c r="B11" s="9" t="inlineStr">
        <is>
          <t>KTOS ADTV90</t>
        </is>
      </c>
      <c r="C11" s="11">
        <f>'09 대조표'!E11</f>
        <v/>
      </c>
      <c r="D11" s="11">
        <f>'09 대조표'!F11</f>
        <v/>
      </c>
      <c r="E11" s="16">
        <f>'09 대조표'!G11</f>
        <v/>
      </c>
      <c r="F11" s="15" t="inlineStr">
        <is>
          <t>미국 거래대금 재구성이 제59조대로 되었다</t>
        </is>
      </c>
    </row>
    <row r="12">
      <c r="A12" s="14" t="inlineStr">
        <is>
          <t>C</t>
        </is>
      </c>
      <c r="B12" s="9" t="inlineStr">
        <is>
          <t>ADTV90 분모(개장일수)</t>
        </is>
      </c>
      <c r="C12" s="11">
        <f>'09 대조표'!E12</f>
        <v/>
      </c>
      <c r="D12" s="11">
        <f>'09 대조표'!F12</f>
        <v/>
      </c>
      <c r="E12" s="16">
        <f>'09 대조표'!G12</f>
        <v/>
      </c>
      <c r="F12" s="15" t="inlineStr">
        <is>
          <t>정지일과 결측일을 다르게 처리했다 (R6)</t>
        </is>
      </c>
    </row>
    <row r="13">
      <c r="A13" s="14" t="inlineStr">
        <is>
          <t>D</t>
        </is>
      </c>
      <c r="B13" s="9" t="inlineStr">
        <is>
          <t>미국 P10 하한</t>
        </is>
      </c>
      <c r="C13" s="11">
        <f>'09 대조표'!E13</f>
        <v/>
      </c>
      <c r="D13" s="11">
        <f>'09 대조표'!F13</f>
        <v/>
      </c>
      <c r="E13" s="16">
        <f>'09 대조표'!G13</f>
        <v/>
      </c>
      <c r="F13" s="15" t="inlineStr">
        <is>
          <t>유동성 하한이 규칙대로 산출되었다</t>
        </is>
      </c>
    </row>
    <row r="14">
      <c r="A14" s="14" t="inlineStr">
        <is>
          <t>E</t>
        </is>
      </c>
      <c r="B14" s="9" t="inlineStr">
        <is>
          <t>KTOS 편입 여부</t>
        </is>
      </c>
      <c r="C14" s="11">
        <f>'09 대조표'!E14</f>
        <v/>
      </c>
      <c r="D14" s="11">
        <f>'09 대조표'!F14</f>
        <v/>
      </c>
      <c r="E14" s="16">
        <f>'09 대조표'!G14</f>
        <v/>
      </c>
      <c r="F14" s="15" t="inlineStr">
        <is>
          <t>경계 종목의 판정이 임의적이지 않다</t>
        </is>
      </c>
    </row>
    <row r="15">
      <c r="A15" s="14" t="inlineStr">
        <is>
          <t>F</t>
        </is>
      </c>
      <c r="B15" s="9" t="inlineStr">
        <is>
          <t>P10 미만 종목 수</t>
        </is>
      </c>
      <c r="C15" s="11">
        <f>'09 대조표'!E15</f>
        <v/>
      </c>
      <c r="D15" s="11">
        <f>'09 대조표'!F15</f>
        <v/>
      </c>
      <c r="E15" s="16">
        <f>'09 대조표'!G15</f>
        <v/>
      </c>
      <c r="F15" s="15" t="inlineStr">
        <is>
          <t>지금 규칙이 매 회차 정확히 1종목을 제외한다</t>
        </is>
      </c>
    </row>
    <row r="16">
      <c r="A16" s="14" t="inlineStr">
        <is>
          <t>G</t>
        </is>
      </c>
      <c r="B16" s="9" t="inlineStr">
        <is>
          <t>2종목 이상 탈락에 필요한 최소 n</t>
        </is>
      </c>
      <c r="C16" s="11">
        <f>'09 대조표'!E16</f>
        <v/>
      </c>
      <c r="D16" s="11">
        <f>'09 대조표'!F16</f>
        <v/>
      </c>
      <c r="E16" s="16">
        <f>'09 대조표'!G16</f>
        <v/>
      </c>
      <c r="F16" s="15" t="inlineStr">
        <is>
          <t>그 성질이 표본 크기에서 나온 것이다</t>
        </is>
      </c>
    </row>
    <row r="17">
      <c r="A17" s="14" t="inlineStr">
        <is>
          <t>H</t>
        </is>
      </c>
      <c r="B17" s="9" t="inlineStr">
        <is>
          <t>목표비중 합계 (3/31 회차)</t>
        </is>
      </c>
      <c r="C17" s="11">
        <f>'09 대조표'!E17</f>
        <v/>
      </c>
      <c r="D17" s="11">
        <f>'09 대조표'!F17</f>
        <v/>
      </c>
      <c r="E17" s="16">
        <f>'09 대조표'!G17</f>
        <v/>
      </c>
      <c r="F17" s="15" t="inlineStr">
        <is>
          <t>비중 합이 정확히 1이다</t>
        </is>
      </c>
    </row>
    <row r="18">
      <c r="A18" s="14" t="inlineStr">
        <is>
          <t>I</t>
        </is>
      </c>
      <c r="B18" s="9" t="inlineStr">
        <is>
          <t>최대 비중 종목의 비중 (3/31 회차)</t>
        </is>
      </c>
      <c r="C18" s="11">
        <f>'09 대조표'!E18</f>
        <v/>
      </c>
      <c r="D18" s="11">
        <f>'09 대조표'!F18</f>
        <v/>
      </c>
      <c r="E18" s="16">
        <f>'09 대조표'!G18</f>
        <v/>
      </c>
      <c r="F18" s="15" t="inlineStr">
        <is>
          <t>개별종목 집중도가 어느 수준인지</t>
        </is>
      </c>
    </row>
    <row r="19">
      <c r="A19" s="14" t="inlineStr">
        <is>
          <t>J</t>
        </is>
      </c>
      <c r="B19" s="9" t="inlineStr">
        <is>
          <t>2026-04-07 지수 레벨</t>
        </is>
      </c>
      <c r="C19" s="11">
        <f>'09 대조표'!E19</f>
        <v/>
      </c>
      <c r="D19" s="11">
        <f>'09 대조표'!F19</f>
        <v/>
      </c>
      <c r="E19" s="16">
        <f>'09 대조표'!G19</f>
        <v/>
      </c>
      <c r="F19" s="15" t="inlineStr">
        <is>
          <t>최종 지수값이 규칙대로 산출되었다</t>
        </is>
      </c>
    </row>
    <row r="20">
      <c r="A20" s="14" t="inlineStr">
        <is>
          <t>K</t>
        </is>
      </c>
      <c r="B20" s="9" t="inlineStr">
        <is>
          <t>04-13 조정 전 수익률</t>
        </is>
      </c>
      <c r="C20" s="11">
        <f>'09 대조표'!E20</f>
        <v/>
      </c>
      <c r="D20" s="11">
        <f>'09 대조표'!F20</f>
        <v/>
      </c>
      <c r="E20" s="16">
        <f>'09 대조표'!G20</f>
        <v/>
      </c>
      <c r="F20" s="15" t="inlineStr">
        <is>
          <t>기업행사 미반영 시 얼마나 왜곡되는지</t>
        </is>
      </c>
    </row>
    <row r="21">
      <c r="A21" s="14" t="inlineStr">
        <is>
          <t>L</t>
        </is>
      </c>
      <c r="B21" s="9" t="inlineStr">
        <is>
          <t>04-13 조정 후 수익률</t>
        </is>
      </c>
      <c r="C21" s="11">
        <f>'09 대조표'!E21</f>
        <v/>
      </c>
      <c r="D21" s="11">
        <f>'09 대조표'!F21</f>
        <v/>
      </c>
      <c r="E21" s="16">
        <f>'09 대조표'!G21</f>
        <v/>
      </c>
      <c r="F21" s="15" t="inlineStr">
        <is>
          <t>조정 후 값이 실제 시장 반응과 맞는지</t>
        </is>
      </c>
    </row>
    <row r="23">
      <c r="A23" s="5" t="inlineStr">
        <is>
          <t>■ 발표에서 말할 문장 (검산 결과에 맞게 고쳐 쓰십시오)</t>
        </is>
      </c>
    </row>
    <row r="24">
      <c r="A24" s="6" t="inlineStr">
        <is>
          <t xml:space="preserve">  우리는 코드가 낸 지수를 사람이 원자료부터 손으로 다시 계산해 대조했습니다.</t>
        </is>
      </c>
    </row>
    <row r="25">
      <c r="A25" s="6" t="inlineStr">
        <is>
          <t xml:space="preserve">  자료마감일, 거래대금 재구성, ADTV90, 유동성 하한, 목표비중, 지수 레벨까지 12개 항목입니다.</t>
        </is>
      </c>
    </row>
    <row r="26">
      <c r="A26" s="6" t="inlineStr">
        <is>
          <t xml:space="preserve">  이 과정에서 규칙 자체의 성질도 확인했습니다 — 지금의 유동성 하한은 후보군이 작아서</t>
        </is>
      </c>
    </row>
    <row r="27">
      <c r="A27" s="6" t="inlineStr">
        <is>
          <t xml:space="preserve">  매 회차 가장 낮은 한 종목만 제외하는 방식으로 작동합니다. 이것은 알고 채택한 것입니다.</t>
        </is>
      </c>
    </row>
    <row r="28">
      <c r="A28" s="5" t="inlineStr"/>
    </row>
    <row r="29">
      <c r="A29" s="5" t="inlineStr">
        <is>
          <t>■ 하지 말아야 할 말</t>
        </is>
      </c>
    </row>
    <row r="30">
      <c r="A30" s="6" t="inlineStr">
        <is>
          <t xml:space="preserve">  '검산이 맞았으니 성과도 믿을 만하다' — 검산은 계산이 규칙대로 되었는지만 말합니다.</t>
        </is>
      </c>
    </row>
    <row r="31">
      <c r="A31" s="6" t="inlineStr">
        <is>
          <t xml:space="preserve">  성과의 유의성은 표본 58일, 추적오차 33%로 통계적으로 판정할 수 없습니다. 이 둘은 다른 이야기입니다.</t>
        </is>
      </c>
    </row>
  </sheetData>
  <mergeCells count="12">
    <mergeCell ref="A24:F24"/>
    <mergeCell ref="A4:H4"/>
    <mergeCell ref="A28:F28"/>
    <mergeCell ref="A23:F23"/>
    <mergeCell ref="A27:F27"/>
    <mergeCell ref="A31:F31"/>
    <mergeCell ref="A5:H5"/>
    <mergeCell ref="A26:F26"/>
    <mergeCell ref="A30:F30"/>
    <mergeCell ref="A29:F29"/>
    <mergeCell ref="A6:H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2026-07-28T06:13:42Z</dcterms:created>
  <dcterms:modified xmlns:dcterms="http://purl.org/dc/terms/" xmlns:xsi="http://www.w3.org/2001/XMLSchema-instance" xsi:type="dcterms:W3CDTF">2026-07-28T06:13:43Z</dcterms:modified>
</cp:coreProperties>
</file>