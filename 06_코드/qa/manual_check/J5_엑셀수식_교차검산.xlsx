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안내" sheetId="1" state="visible" r:id="rId1"/>
    <sheet xmlns:r="http://schemas.openxmlformats.org/officeDocument/2006/relationships" name="10 원자료 US거래" sheetId="2" state="visible" r:id="rId2"/>
    <sheet xmlns:r="http://schemas.openxmlformats.org/officeDocument/2006/relationships" name="11 계산 ADTV90" sheetId="3" state="visible" r:id="rId3"/>
    <sheet xmlns:r="http://schemas.openxmlformats.org/officeDocument/2006/relationships" name="12 계산 P10" sheetId="4" state="visible" r:id="rId4"/>
    <sheet xmlns:r="http://schemas.openxmlformats.org/officeDocument/2006/relationships" name="20 원자료 가격" sheetId="5" state="visible" r:id="rId5"/>
    <sheet xmlns:r="http://schemas.openxmlformats.org/officeDocument/2006/relationships" name="21 계산 비중" sheetId="6" state="visible" r:id="rId6"/>
    <sheet xmlns:r="http://schemas.openxmlformats.org/officeDocument/2006/relationships" name="22 계산 지수" sheetId="7" state="visible" r:id="rId7"/>
    <sheet xmlns:r="http://schemas.openxmlformats.org/officeDocument/2006/relationships" name="30 계산 분할" sheetId="8" state="visible" r:id="rId8"/>
    <sheet xmlns:r="http://schemas.openxmlformats.org/officeDocument/2006/relationships" name="99 대조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00"/>
    <numFmt numFmtId="166" formatCode="0.0000"/>
    <numFmt numFmtId="167" formatCode="0.00000000"/>
    <numFmt numFmtId="168" formatCode="#,##0.0000"/>
  </numFmts>
  <fonts count="7">
    <font>
      <name val="Calibri"/>
      <family val="2"/>
      <color theme="1"/>
      <sz val="11"/>
      <scheme val="minor"/>
    </font>
    <font>
      <b val="1"/>
      <color rgb="001E2761"/>
      <sz val="15"/>
    </font>
    <font>
      <color rgb="005A5A55"/>
      <sz val="10"/>
    </font>
    <font>
      <sz val="10"/>
    </font>
    <font>
      <color rgb="006B6B66"/>
      <sz val="9"/>
    </font>
    <font>
      <b val="1"/>
      <color rgb="00FFFFFF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FDE8E6"/>
      </patternFill>
    </fill>
    <fill>
      <patternFill patternType="solid">
        <fgColor rgb="00F7F7F4"/>
      </patternFill>
    </fill>
    <fill>
      <patternFill patternType="solid">
        <fgColor rgb="001E2761"/>
      </patternFill>
    </fill>
    <fill>
      <patternFill patternType="solid">
        <fgColor rgb="00EFEFE9"/>
      </patternFill>
    </fill>
    <fill>
      <patternFill patternType="solid">
        <fgColor rgb="00E3EEF9"/>
      </patternFill>
    </fill>
    <fill>
      <patternFill patternType="solid">
        <fgColor rgb="00FFE9A8"/>
      </patternFill>
    </fill>
    <fill>
      <patternFill patternType="solid">
        <fgColor rgb="00FFF7D1"/>
      </patternFill>
    </fill>
    <fill>
      <patternFill patternType="solid">
        <fgColor rgb="00E6F4EA"/>
      </patternFill>
    </fill>
  </fills>
  <borders count="6">
    <border>
      <left/>
      <right/>
      <top/>
      <bottom/>
      <diagonal/>
    </border>
    <border>
      <left style="thin">
        <color rgb="00C8C7BC"/>
      </left>
      <right style="thin">
        <color rgb="00C8C7BC"/>
      </right>
      <top style="thin">
        <color rgb="00C8C7BC"/>
      </top>
      <bottom style="thin">
        <color rgb="00C8C7BC"/>
      </bottom>
    </border>
    <border>
      <left/>
      <right/>
      <top style="thin">
        <color rgb="00C8C7BC"/>
      </top>
      <bottom/>
      <diagonal/>
    </border>
    <border>
      <left/>
      <right style="thin">
        <color rgb="00C8C7BC"/>
      </right>
      <top style="thin">
        <color rgb="00C8C7BC"/>
      </top>
      <bottom/>
      <diagonal/>
    </border>
    <border>
      <left/>
      <right/>
      <top style="thin">
        <color rgb="00C8C7BC"/>
      </top>
      <bottom style="thin">
        <color rgb="00C8C7BC"/>
      </bottom>
      <diagonal/>
    </border>
    <border>
      <left/>
      <right style="thin">
        <color rgb="00C8C7BC"/>
      </right>
      <top style="thin">
        <color rgb="00C8C7BC"/>
      </top>
      <bottom style="thin">
        <color rgb="00C8C7B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pivotButton="0" quotePrefix="0" xfId="0"/>
    <xf numFmtId="4" fontId="0" fillId="5" borderId="1" pivotButton="0" quotePrefix="0" xfId="0"/>
    <xf numFmtId="3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3" fontId="0" fillId="6" borderId="1" pivotButton="0" quotePrefix="0" xfId="0"/>
    <xf numFmtId="4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2" fontId="0" fillId="6" borderId="1" pivotButton="0" quotePrefix="0" xfId="0"/>
    <xf numFmtId="4" fontId="0" fillId="7" borderId="1" pivotButton="0" quotePrefix="0" xfId="0"/>
    <xf numFmtId="49" fontId="0" fillId="6" borderId="1" pivotButton="0" quotePrefix="0" xfId="0"/>
    <xf numFmtId="164" fontId="0" fillId="5" borderId="1" pivotButton="0" quotePrefix="0" xfId="0"/>
    <xf numFmtId="165" fontId="0" fillId="6" borderId="1" pivotButton="0" quotePrefix="0" xfId="0"/>
    <xf numFmtId="0" fontId="6" fillId="5" borderId="1" pivotButton="0" quotePrefix="0" xfId="0"/>
    <xf numFmtId="165" fontId="0" fillId="7" borderId="1" pivotButton="0" quotePrefix="0" xfId="0"/>
    <xf numFmtId="0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168" fontId="0" fillId="7" borderId="1" pivotButton="0" quotePrefix="0" xfId="0"/>
    <xf numFmtId="164" fontId="0" fillId="6" borderId="1" pivotButton="0" quotePrefix="0" xfId="0"/>
    <xf numFmtId="10" fontId="0" fillId="6" borderId="1" pivotButton="0" quotePrefix="0" xfId="0"/>
    <xf numFmtId="10" fontId="0" fillId="7" borderId="1" pivotButton="0" quotePrefix="0" xfId="0"/>
    <xf numFmtId="0" fontId="0" fillId="2" borderId="1" pivotButton="0" quotePrefix="0" xfId="0"/>
    <xf numFmtId="4" fontId="0" fillId="8" borderId="1" pivotButton="0" quotePrefix="0" xfId="0"/>
    <xf numFmtId="4" fontId="0" fillId="9" borderId="1" pivotButton="0" quotePrefix="0" xfId="0"/>
    <xf numFmtId="11" fontId="0" fillId="6" borderId="1" pivotButton="0" quotePrefix="0" xfId="0"/>
    <xf numFmtId="3" fontId="0" fillId="8" borderId="1" pivotButton="0" quotePrefix="0" xfId="0"/>
    <xf numFmtId="3" fontId="0" fillId="9" borderId="1" pivotButton="0" quotePrefix="0" xfId="0"/>
    <xf numFmtId="49" fontId="0" fillId="8" borderId="1" pivotButton="0" quotePrefix="0" xfId="0"/>
    <xf numFmtId="49" fontId="0" fillId="9" borderId="1" pivotButton="0" quotePrefix="0" xfId="0"/>
    <xf numFmtId="165" fontId="0" fillId="8" borderId="1" pivotButton="0" quotePrefix="0" xfId="0"/>
    <xf numFmtId="165" fontId="0" fillId="9" borderId="1" pivotButton="0" quotePrefix="0" xfId="0"/>
    <xf numFmtId="166" fontId="0" fillId="8" borderId="1" pivotButton="0" quotePrefix="0" xfId="0"/>
    <xf numFmtId="166" fontId="0" fillId="9" borderId="1" pivotButton="0" quotePrefix="0" xfId="0"/>
    <xf numFmtId="168" fontId="0" fillId="6" borderId="1" pivotButton="0" quotePrefix="0" xfId="0"/>
    <xf numFmtId="168" fontId="0" fillId="8" borderId="1" pivotButton="0" quotePrefix="0" xfId="0"/>
    <xf numFmtId="168" fontId="0" fillId="9" borderId="1" pivotButton="0" quotePrefix="0" xfId="0"/>
    <xf numFmtId="10" fontId="0" fillId="8" borderId="1" pivotButton="0" quotePrefix="0" xfId="0"/>
    <xf numFmtId="10" fontId="0" fillId="9" borderId="1" pivotButton="0" quotePrefix="0" xfId="0"/>
    <xf numFmtId="3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4" customWidth="1" min="4" max="4"/>
    <col width="20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J-5 엑셀 수식 교차검산본</t>
        </is>
      </c>
    </row>
    <row r="2">
      <c r="A2" s="2" t="inlineStr">
        <is>
          <t>계산은 전부 엑셀 수식이다 · 파일을 열면 엑셀이 원자료에서 직접 계산한다</t>
        </is>
      </c>
    </row>
    <row r="4">
      <c r="A4" s="3" t="inlineStr">
        <is>
          <t>■ 이 파일을 언제 여는가</t>
        </is>
      </c>
    </row>
    <row r="5">
      <c r="A5" s="4" t="inlineStr">
        <is>
          <t xml:space="preserve">  J5_수기검산_워크시트.xlsx 를 전부 채우고 저장한 다음입니다. 이 파일에는 답이 들어 있습니다.</t>
        </is>
      </c>
    </row>
    <row r="7">
      <c r="A7" s="5" t="inlineStr">
        <is>
          <t>■ 무엇을 하는 파일인가</t>
        </is>
      </c>
    </row>
    <row r="8">
      <c r="A8" s="6" t="inlineStr">
        <is>
          <t xml:space="preserve">  원자료만 싣고 계산 칸은 전부 엑셀 수식으로 걸어 두었습니다. 파일을 열면 엑셀이 계산합니다.</t>
        </is>
      </c>
    </row>
    <row r="9">
      <c r="A9" s="6" t="inlineStr">
        <is>
          <t xml:space="preserve">  파란 칸(계산)을 클릭하면 수식이 보입니다. 하드코딩된 숫자는 대조표의 '코드값' 열뿐입니다.</t>
        </is>
      </c>
    </row>
    <row r="10">
      <c r="A10" s="5" t="inlineStr"/>
    </row>
    <row r="11">
      <c r="A11" s="5" t="inlineStr">
        <is>
          <t>■ 왜 네 경로로 계산하는가</t>
        </is>
      </c>
    </row>
    <row r="12">
      <c r="A12" s="6" t="inlineStr">
        <is>
          <t xml:space="preserve">  같은 규칙을 다른 계산 환경에서 돌려 보면 특정 구현에 기댄 오류가 드러납니다.</t>
        </is>
      </c>
    </row>
    <row r="14">
      <c r="A14" s="7" t="inlineStr">
        <is>
          <t>경로</t>
        </is>
      </c>
      <c r="B14" s="7" t="inlineStr">
        <is>
          <t>위치</t>
        </is>
      </c>
      <c r="C14" s="7" t="inlineStr">
        <is>
          <t>무엇이 독립인가</t>
        </is>
      </c>
      <c r="D14" s="7" t="inlineStr">
        <is>
          <t>무엇이 독립이 아닌가</t>
        </is>
      </c>
    </row>
    <row r="15">
      <c r="A15" s="8" t="inlineStr">
        <is>
          <t>파이썬 엔진</t>
        </is>
      </c>
      <c r="B15" s="8" t="inlineStr">
        <is>
          <t>engine/</t>
        </is>
      </c>
      <c r="C15" s="8" t="inlineStr">
        <is>
          <t>팀의 구현</t>
        </is>
      </c>
      <c r="D15" s="8" t="inlineStr">
        <is>
          <t>—</t>
        </is>
      </c>
    </row>
    <row r="16">
      <c r="A16" s="8" t="inlineStr">
        <is>
          <t>파이썬 독립본</t>
        </is>
      </c>
      <c r="B16" s="8" t="inlineStr">
        <is>
          <t>qa/independent/</t>
        </is>
      </c>
      <c r="C16" s="8" t="inlineStr">
        <is>
          <t>구현이 다름</t>
        </is>
      </c>
      <c r="D16" s="8" t="inlineStr">
        <is>
          <t>규칙 해석이 같음(같은 사람)</t>
        </is>
      </c>
    </row>
    <row r="17">
      <c r="A17" s="8" t="inlineStr">
        <is>
          <t>엑셀 수식</t>
        </is>
      </c>
      <c r="B17" s="8" t="inlineStr">
        <is>
          <t>이 파일</t>
        </is>
      </c>
      <c r="C17" s="8" t="inlineStr">
        <is>
          <t>계산 환경이 다름</t>
        </is>
      </c>
      <c r="D17" s="8" t="inlineStr">
        <is>
          <t>규칙 해석이 같음(같은 사람)</t>
        </is>
      </c>
    </row>
    <row r="18">
      <c r="A18" s="8" t="inlineStr">
        <is>
          <t>사람 손</t>
        </is>
      </c>
      <c r="B18" s="8" t="inlineStr">
        <is>
          <t>J5 워크시트</t>
        </is>
      </c>
      <c r="C18" s="8" t="inlineStr">
        <is>
          <t>해석·계산 모두</t>
        </is>
      </c>
      <c r="D18" s="8" t="inlineStr">
        <is>
          <t>—</t>
        </is>
      </c>
    </row>
    <row r="20">
      <c r="A20" s="3" t="inlineStr">
        <is>
          <t>■ 이 파일이 증명하지 못하는 것</t>
        </is>
      </c>
    </row>
    <row r="21">
      <c r="A21" s="4" t="inlineStr">
        <is>
          <t xml:space="preserve">  수식은 제가 룰북을 읽고 쓴 것이라 규칙 해석은 독립이 아닙니다. 독립 재산출도 같은 해석에서 나왔습니다.</t>
        </is>
      </c>
    </row>
    <row r="22">
      <c r="A22" s="4" t="inlineStr">
        <is>
          <t xml:space="preserve">  해석 자체가 틀렸다면 파이썬 둘과 엑셀이 사이좋게 같이 틀립니다.</t>
        </is>
      </c>
    </row>
    <row r="23">
      <c r="A23" s="4" t="inlineStr">
        <is>
          <t xml:space="preserve">  그것을 잡는 것은 사람이 손으로 하는 J-5 검산뿐입니다. 그래서 순서가 중요합니다.</t>
        </is>
      </c>
    </row>
    <row r="24">
      <c r="A24" s="3" t="inlineStr"/>
    </row>
    <row r="25">
      <c r="A25" s="4" t="inlineStr">
        <is>
          <t xml:space="preserve">  엑셀이 잡아 주는 것: 옮겨 적기 오류 · 백분위 보간 구현 차이 · 부동소수점 처리 차이 · 범위 지정 실수</t>
        </is>
      </c>
    </row>
    <row r="26">
      <c r="A26" s="4" t="inlineStr">
        <is>
          <t xml:space="preserve">  엑셀이 못 잡는 것:  룰북 오독 · 관측창을 잘못 잡음 · 분모 규칙 오해</t>
        </is>
      </c>
    </row>
    <row r="28">
      <c r="A28" s="7" t="inlineStr">
        <is>
          <t>시트</t>
        </is>
      </c>
      <c r="B28" s="7" t="inlineStr">
        <is>
          <t>내용</t>
        </is>
      </c>
      <c r="C28" s="7" t="inlineStr">
        <is>
          <t>계산 방식</t>
        </is>
      </c>
    </row>
    <row r="29">
      <c r="A29" s="8" t="inlineStr">
        <is>
          <t>10 원자료 US거래</t>
        </is>
      </c>
      <c r="B29" s="8" t="inlineStr">
        <is>
          <t>미국 9종목 × 90개장일 종가·거래량·상태</t>
        </is>
      </c>
      <c r="C29" s="8" t="inlineStr">
        <is>
          <t>원자료 (수식 없음)</t>
        </is>
      </c>
    </row>
    <row r="30">
      <c r="A30" s="8" t="inlineStr">
        <is>
          <t>11 계산 ADTV90</t>
        </is>
      </c>
      <c r="B30" s="8" t="inlineStr">
        <is>
          <t>유효관측일수·거래대금합·ADTV90</t>
        </is>
      </c>
      <c r="C30" s="8" t="inlineStr">
        <is>
          <t>COUNTIF · SUMPRODUCT</t>
        </is>
      </c>
    </row>
    <row r="31">
      <c r="A31" s="8" t="inlineStr">
        <is>
          <t>12 계산 P10</t>
        </is>
      </c>
      <c r="B31" s="8" t="inlineStr">
        <is>
          <t>백분위 보간·편입판정</t>
        </is>
      </c>
      <c r="C31" s="8" t="inlineStr">
        <is>
          <t>PERCENTILE.INC</t>
        </is>
      </c>
    </row>
    <row r="32">
      <c r="A32" s="8" t="inlineStr">
        <is>
          <t>20 원자료 가격</t>
        </is>
      </c>
      <c r="B32" s="8" t="inlineStr">
        <is>
          <t>15종목 2일치 종가 + 환율</t>
        </is>
      </c>
      <c r="C32" s="8" t="inlineStr">
        <is>
          <t>원자료 (수식 없음)</t>
        </is>
      </c>
    </row>
    <row r="33">
      <c r="A33" s="8" t="inlineStr">
        <is>
          <t>21 계산 비중</t>
        </is>
      </c>
      <c r="B33" s="8" t="inlineStr">
        <is>
          <t>셀별 종목수 → 1/6 → 종목당</t>
        </is>
      </c>
      <c r="C33" s="8" t="inlineStr">
        <is>
          <t>COUNTIF</t>
        </is>
      </c>
    </row>
    <row r="34">
      <c r="A34" s="8" t="inlineStr">
        <is>
          <t>22 계산 지수</t>
        </is>
      </c>
      <c r="B34" s="8" t="inlineStr">
        <is>
          <t>원화환산 → 가격비 → 가중합</t>
        </is>
      </c>
      <c r="C34" s="8" t="inlineStr">
        <is>
          <t>SUMPRODUCT</t>
        </is>
      </c>
    </row>
    <row r="35">
      <c r="A35" s="8" t="inlineStr">
        <is>
          <t>30 계산 분할</t>
        </is>
      </c>
      <c r="B35" s="8" t="inlineStr">
        <is>
          <t>010120 분할 조정 전후</t>
        </is>
      </c>
      <c r="C35" s="8" t="inlineStr">
        <is>
          <t>산술식</t>
        </is>
      </c>
    </row>
    <row r="36">
      <c r="A36" s="8" t="inlineStr">
        <is>
          <t>99 대조표</t>
        </is>
      </c>
      <c r="B36" s="8" t="inlineStr">
        <is>
          <t>엑셀값 · 수기값 · 코드값</t>
        </is>
      </c>
      <c r="C36" s="8" t="inlineStr">
        <is>
          <t>차이는 수식</t>
        </is>
      </c>
    </row>
  </sheetData>
  <mergeCells count="15">
    <mergeCell ref="A9:H9"/>
    <mergeCell ref="A4:H4"/>
    <mergeCell ref="A12:H12"/>
    <mergeCell ref="A26:H26"/>
    <mergeCell ref="A21:H21"/>
    <mergeCell ref="A7:H7"/>
    <mergeCell ref="A25:H25"/>
    <mergeCell ref="A20:H20"/>
    <mergeCell ref="A24:H24"/>
    <mergeCell ref="A10:H10"/>
    <mergeCell ref="A11:H11"/>
    <mergeCell ref="A5:H5"/>
    <mergeCell ref="A23:H23"/>
    <mergeCell ref="A8:H8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4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4" customWidth="1" min="19" max="19"/>
    <col width="13" customWidth="1" min="20" max="20"/>
    <col width="13" customWidth="1" min="21" max="21"/>
    <col width="14" customWidth="1" min="22" max="22"/>
    <col width="13" customWidth="1" min="23" max="23"/>
    <col width="13" customWidth="1" min="24" max="24"/>
    <col width="14" customWidth="1" min="25" max="25"/>
    <col width="13" customWidth="1" min="26" max="26"/>
    <col width="13" customWidth="1" min="27" max="27"/>
    <col width="14" customWidth="1" min="28" max="28"/>
  </cols>
  <sheetData>
    <row r="1">
      <c r="A1" s="1" t="inlineStr">
        <is>
          <t>미국 9종목 × 90 개장일 — 원자료</t>
        </is>
      </c>
    </row>
    <row r="2">
      <c r="A2" s="2" t="inlineStr">
        <is>
          <t>관측창: 자료마감일 2026-06-23 이하 미국 개장일 최근 90일 · 출처 daily_market_state.csv</t>
        </is>
      </c>
    </row>
    <row r="3">
      <c r="B3" s="9" t="inlineStr">
        <is>
          <t>ALAB</t>
        </is>
      </c>
      <c r="E3" s="9" t="inlineStr">
        <is>
          <t>ANET</t>
        </is>
      </c>
      <c r="H3" s="9" t="inlineStr">
        <is>
          <t>APH</t>
        </is>
      </c>
      <c r="K3" s="9" t="inlineStr">
        <is>
          <t>ATI</t>
        </is>
      </c>
      <c r="N3" s="9" t="inlineStr">
        <is>
          <t>ETN</t>
        </is>
      </c>
      <c r="Q3" s="9" t="inlineStr">
        <is>
          <t>GEV</t>
        </is>
      </c>
      <c r="T3" s="9" t="inlineStr">
        <is>
          <t>KTOS</t>
        </is>
      </c>
      <c r="W3" s="9" t="inlineStr">
        <is>
          <t>TER</t>
        </is>
      </c>
      <c r="Z3" s="9" t="inlineStr">
        <is>
          <t>SPCX</t>
        </is>
      </c>
    </row>
    <row r="4">
      <c r="A4" s="10" t="inlineStr">
        <is>
          <t>날짜</t>
        </is>
      </c>
      <c r="B4" s="7" t="inlineStr">
        <is>
          <t>종가</t>
        </is>
      </c>
      <c r="C4" s="7" t="inlineStr">
        <is>
          <t>거래량</t>
        </is>
      </c>
      <c r="D4" s="7" t="inlineStr">
        <is>
          <t>상태</t>
        </is>
      </c>
      <c r="E4" s="7" t="inlineStr">
        <is>
          <t>종가</t>
        </is>
      </c>
      <c r="F4" s="7" t="inlineStr">
        <is>
          <t>거래량</t>
        </is>
      </c>
      <c r="G4" s="7" t="inlineStr">
        <is>
          <t>상태</t>
        </is>
      </c>
      <c r="H4" s="7" t="inlineStr">
        <is>
          <t>종가</t>
        </is>
      </c>
      <c r="I4" s="7" t="inlineStr">
        <is>
          <t>거래량</t>
        </is>
      </c>
      <c r="J4" s="7" t="inlineStr">
        <is>
          <t>상태</t>
        </is>
      </c>
      <c r="K4" s="7" t="inlineStr">
        <is>
          <t>종가</t>
        </is>
      </c>
      <c r="L4" s="7" t="inlineStr">
        <is>
          <t>거래량</t>
        </is>
      </c>
      <c r="M4" s="7" t="inlineStr">
        <is>
          <t>상태</t>
        </is>
      </c>
      <c r="N4" s="7" t="inlineStr">
        <is>
          <t>종가</t>
        </is>
      </c>
      <c r="O4" s="7" t="inlineStr">
        <is>
          <t>거래량</t>
        </is>
      </c>
      <c r="P4" s="7" t="inlineStr">
        <is>
          <t>상태</t>
        </is>
      </c>
      <c r="Q4" s="7" t="inlineStr">
        <is>
          <t>종가</t>
        </is>
      </c>
      <c r="R4" s="7" t="inlineStr">
        <is>
          <t>거래량</t>
        </is>
      </c>
      <c r="S4" s="7" t="inlineStr">
        <is>
          <t>상태</t>
        </is>
      </c>
      <c r="T4" s="7" t="inlineStr">
        <is>
          <t>종가</t>
        </is>
      </c>
      <c r="U4" s="7" t="inlineStr">
        <is>
          <t>거래량</t>
        </is>
      </c>
      <c r="V4" s="7" t="inlineStr">
        <is>
          <t>상태</t>
        </is>
      </c>
      <c r="W4" s="7" t="inlineStr">
        <is>
          <t>종가</t>
        </is>
      </c>
      <c r="X4" s="7" t="inlineStr">
        <is>
          <t>거래량</t>
        </is>
      </c>
      <c r="Y4" s="7" t="inlineStr">
        <is>
          <t>상태</t>
        </is>
      </c>
      <c r="Z4" s="7" t="inlineStr">
        <is>
          <t>종가</t>
        </is>
      </c>
      <c r="AA4" s="7" t="inlineStr">
        <is>
          <t>거래량</t>
        </is>
      </c>
      <c r="AB4" s="7" t="inlineStr">
        <is>
          <t>상태</t>
        </is>
      </c>
    </row>
    <row r="5">
      <c r="A5" s="8" t="inlineStr">
        <is>
          <t>2026-02-12</t>
        </is>
      </c>
      <c r="B5" s="11" t="n">
        <v>126.58</v>
      </c>
      <c r="C5" s="12" t="n">
        <v>11444100</v>
      </c>
      <c r="D5" s="13" t="inlineStr">
        <is>
          <t>TRADED</t>
        </is>
      </c>
      <c r="E5" s="11" t="n">
        <v>135.12</v>
      </c>
      <c r="F5" s="12" t="n">
        <v>16322100</v>
      </c>
      <c r="G5" s="13" t="inlineStr">
        <is>
          <t>TRADED</t>
        </is>
      </c>
      <c r="H5" s="11" t="n">
        <v>143.73</v>
      </c>
      <c r="I5" s="12" t="n">
        <v>11352600</v>
      </c>
      <c r="J5" s="13" t="inlineStr">
        <is>
          <t>TRADED</t>
        </is>
      </c>
      <c r="K5" s="11" t="n">
        <v>139.81</v>
      </c>
      <c r="L5" s="12" t="n">
        <v>2482500</v>
      </c>
      <c r="M5" s="13" t="inlineStr">
        <is>
          <t>TRADED</t>
        </is>
      </c>
      <c r="N5" s="11" t="n">
        <v>390.33</v>
      </c>
      <c r="O5" s="12" t="n">
        <v>4603600</v>
      </c>
      <c r="P5" s="13" t="inlineStr">
        <is>
          <t>TRADED</t>
        </is>
      </c>
      <c r="Q5" s="11" t="n">
        <v>816.5599999999999</v>
      </c>
      <c r="R5" s="12" t="n">
        <v>2677700</v>
      </c>
      <c r="S5" s="13" t="inlineStr">
        <is>
          <t>TRADED</t>
        </is>
      </c>
      <c r="T5" s="11" t="n">
        <v>87.05</v>
      </c>
      <c r="U5" s="12" t="n">
        <v>2276600</v>
      </c>
      <c r="V5" s="13" t="inlineStr">
        <is>
          <t>TRADED</t>
        </is>
      </c>
      <c r="W5" s="11" t="n">
        <v>311.03</v>
      </c>
      <c r="X5" s="12" t="n">
        <v>5023400</v>
      </c>
      <c r="Y5" s="13" t="inlineStr">
        <is>
          <t>TRADED</t>
        </is>
      </c>
      <c r="Z5" s="11" t="n"/>
      <c r="AA5" s="12" t="n"/>
      <c r="AB5" s="13" t="inlineStr">
        <is>
          <t>NOT_LISTED</t>
        </is>
      </c>
    </row>
    <row r="6">
      <c r="A6" s="8" t="inlineStr">
        <is>
          <t>2026-02-13</t>
        </is>
      </c>
      <c r="B6" s="11" t="n">
        <v>129.32</v>
      </c>
      <c r="C6" s="12" t="n">
        <v>7735800</v>
      </c>
      <c r="D6" s="13" t="inlineStr">
        <is>
          <t>TRADED</t>
        </is>
      </c>
      <c r="E6" s="11" t="n">
        <v>141.59</v>
      </c>
      <c r="F6" s="12" t="n">
        <v>21823000</v>
      </c>
      <c r="G6" s="13" t="inlineStr">
        <is>
          <t>TRADED</t>
        </is>
      </c>
      <c r="H6" s="11" t="n">
        <v>146.72</v>
      </c>
      <c r="I6" s="12" t="n">
        <v>9378800</v>
      </c>
      <c r="J6" s="13" t="inlineStr">
        <is>
          <t>TRADED</t>
        </is>
      </c>
      <c r="K6" s="11" t="n">
        <v>143.93</v>
      </c>
      <c r="L6" s="12" t="n">
        <v>2251700</v>
      </c>
      <c r="M6" s="13" t="inlineStr">
        <is>
          <t>TRADED</t>
        </is>
      </c>
      <c r="N6" s="11" t="n">
        <v>389.25</v>
      </c>
      <c r="O6" s="12" t="n">
        <v>2253500</v>
      </c>
      <c r="P6" s="13" t="inlineStr">
        <is>
          <t>TRADED</t>
        </is>
      </c>
      <c r="Q6" s="11" t="n">
        <v>802.13</v>
      </c>
      <c r="R6" s="12" t="n">
        <v>2020900</v>
      </c>
      <c r="S6" s="13" t="inlineStr">
        <is>
          <t>TRADED</t>
        </is>
      </c>
      <c r="T6" s="11" t="n">
        <v>89.06</v>
      </c>
      <c r="U6" s="12" t="n">
        <v>1769100</v>
      </c>
      <c r="V6" s="13" t="inlineStr">
        <is>
          <t>TRADED</t>
        </is>
      </c>
      <c r="W6" s="11" t="n">
        <v>314.66</v>
      </c>
      <c r="X6" s="12" t="n">
        <v>2600600</v>
      </c>
      <c r="Y6" s="13" t="inlineStr">
        <is>
          <t>TRADED</t>
        </is>
      </c>
      <c r="Z6" s="11" t="n"/>
      <c r="AA6" s="12" t="n"/>
      <c r="AB6" s="13" t="inlineStr">
        <is>
          <t>NOT_LISTED</t>
        </is>
      </c>
    </row>
    <row r="7">
      <c r="A7" s="8" t="inlineStr">
        <is>
          <t>2026-02-17</t>
        </is>
      </c>
      <c r="B7" s="11" t="n">
        <v>123.69</v>
      </c>
      <c r="C7" s="12" t="n">
        <v>7105700</v>
      </c>
      <c r="D7" s="13" t="inlineStr">
        <is>
          <t>TRADED</t>
        </is>
      </c>
      <c r="E7" s="11" t="n">
        <v>142.58</v>
      </c>
      <c r="F7" s="12" t="n">
        <v>8724200</v>
      </c>
      <c r="G7" s="13" t="inlineStr">
        <is>
          <t>TRADED</t>
        </is>
      </c>
      <c r="H7" s="11" t="n">
        <v>148.57</v>
      </c>
      <c r="I7" s="12" t="n">
        <v>6844800</v>
      </c>
      <c r="J7" s="13" t="inlineStr">
        <is>
          <t>TRADED</t>
        </is>
      </c>
      <c r="K7" s="11" t="n">
        <v>146.75</v>
      </c>
      <c r="L7" s="12" t="n">
        <v>2010800</v>
      </c>
      <c r="M7" s="13" t="inlineStr">
        <is>
          <t>TRADED</t>
        </is>
      </c>
      <c r="N7" s="11" t="n">
        <v>391.49</v>
      </c>
      <c r="O7" s="12" t="n">
        <v>2094500</v>
      </c>
      <c r="P7" s="13" t="inlineStr">
        <is>
          <t>TRADED</t>
        </is>
      </c>
      <c r="Q7" s="11" t="n">
        <v>819.15</v>
      </c>
      <c r="R7" s="12" t="n">
        <v>2221600</v>
      </c>
      <c r="S7" s="13" t="inlineStr">
        <is>
          <t>TRADED</t>
        </is>
      </c>
      <c r="T7" s="11" t="n">
        <v>91.97</v>
      </c>
      <c r="U7" s="12" t="n">
        <v>2405800</v>
      </c>
      <c r="V7" s="13" t="inlineStr">
        <is>
          <t>TRADED</t>
        </is>
      </c>
      <c r="W7" s="11" t="n">
        <v>305.53</v>
      </c>
      <c r="X7" s="12" t="n">
        <v>2383300</v>
      </c>
      <c r="Y7" s="13" t="inlineStr">
        <is>
          <t>TRADED</t>
        </is>
      </c>
      <c r="Z7" s="11" t="n"/>
      <c r="AA7" s="12" t="n"/>
      <c r="AB7" s="13" t="inlineStr">
        <is>
          <t>NOT_LISTED</t>
        </is>
      </c>
    </row>
    <row r="8">
      <c r="A8" s="8" t="inlineStr">
        <is>
          <t>2026-02-18</t>
        </is>
      </c>
      <c r="B8" s="11" t="n">
        <v>129.58</v>
      </c>
      <c r="C8" s="12" t="n">
        <v>4355200</v>
      </c>
      <c r="D8" s="13" t="inlineStr">
        <is>
          <t>TRADED</t>
        </is>
      </c>
      <c r="E8" s="11" t="n">
        <v>139.54</v>
      </c>
      <c r="F8" s="12" t="n">
        <v>9955700</v>
      </c>
      <c r="G8" s="13" t="inlineStr">
        <is>
          <t>TRADED</t>
        </is>
      </c>
      <c r="H8" s="11" t="n">
        <v>147.73</v>
      </c>
      <c r="I8" s="12" t="n">
        <v>7485200</v>
      </c>
      <c r="J8" s="13" t="inlineStr">
        <is>
          <t>TRADED</t>
        </is>
      </c>
      <c r="K8" s="11" t="n">
        <v>148.57</v>
      </c>
      <c r="L8" s="12" t="n">
        <v>1909500</v>
      </c>
      <c r="M8" s="13" t="inlineStr">
        <is>
          <t>TRADED</t>
        </is>
      </c>
      <c r="N8" s="11" t="n">
        <v>380.38</v>
      </c>
      <c r="O8" s="12" t="n">
        <v>2740000</v>
      </c>
      <c r="P8" s="13" t="inlineStr">
        <is>
          <t>TRADED</t>
        </is>
      </c>
      <c r="Q8" s="11" t="n">
        <v>817.55</v>
      </c>
      <c r="R8" s="12" t="n">
        <v>1808900</v>
      </c>
      <c r="S8" s="13" t="inlineStr">
        <is>
          <t>TRADED</t>
        </is>
      </c>
      <c r="T8" s="11" t="n">
        <v>97.20999999999999</v>
      </c>
      <c r="U8" s="12" t="n">
        <v>3657600</v>
      </c>
      <c r="V8" s="13" t="inlineStr">
        <is>
          <t>TRADED</t>
        </is>
      </c>
      <c r="W8" s="11" t="n">
        <v>314.82</v>
      </c>
      <c r="X8" s="12" t="n">
        <v>2753700</v>
      </c>
      <c r="Y8" s="13" t="inlineStr">
        <is>
          <t>TRADED</t>
        </is>
      </c>
      <c r="Z8" s="11" t="n"/>
      <c r="AA8" s="12" t="n"/>
      <c r="AB8" s="13" t="inlineStr">
        <is>
          <t>NOT_LISTED</t>
        </is>
      </c>
    </row>
    <row r="9">
      <c r="A9" s="8" t="inlineStr">
        <is>
          <t>2026-02-19</t>
        </is>
      </c>
      <c r="B9" s="11" t="n">
        <v>132.62</v>
      </c>
      <c r="C9" s="12" t="n">
        <v>2904600</v>
      </c>
      <c r="D9" s="13" t="inlineStr">
        <is>
          <t>TRADED</t>
        </is>
      </c>
      <c r="E9" s="11" t="n">
        <v>137.23</v>
      </c>
      <c r="F9" s="12" t="n">
        <v>5260600</v>
      </c>
      <c r="G9" s="13" t="inlineStr">
        <is>
          <t>TRADED</t>
        </is>
      </c>
      <c r="H9" s="11" t="n">
        <v>151.2</v>
      </c>
      <c r="I9" s="12" t="n">
        <v>5230800</v>
      </c>
      <c r="J9" s="13" t="inlineStr">
        <is>
          <t>TRADED</t>
        </is>
      </c>
      <c r="K9" s="11" t="n">
        <v>152.84</v>
      </c>
      <c r="L9" s="12" t="n">
        <v>2563200</v>
      </c>
      <c r="M9" s="13" t="inlineStr">
        <is>
          <t>TRADED</t>
        </is>
      </c>
      <c r="N9" s="11" t="n">
        <v>377.32</v>
      </c>
      <c r="O9" s="12" t="n">
        <v>2277400</v>
      </c>
      <c r="P9" s="13" t="inlineStr">
        <is>
          <t>TRADED</t>
        </is>
      </c>
      <c r="Q9" s="11" t="n">
        <v>834.61</v>
      </c>
      <c r="R9" s="12" t="n">
        <v>1655600</v>
      </c>
      <c r="S9" s="13" t="inlineStr">
        <is>
          <t>TRADED</t>
        </is>
      </c>
      <c r="T9" s="11" t="n">
        <v>105.67</v>
      </c>
      <c r="U9" s="12" t="n">
        <v>5176800</v>
      </c>
      <c r="V9" s="13" t="inlineStr">
        <is>
          <t>TRADED</t>
        </is>
      </c>
      <c r="W9" s="11" t="n">
        <v>315.9</v>
      </c>
      <c r="X9" s="12" t="n">
        <v>1826700</v>
      </c>
      <c r="Y9" s="13" t="inlineStr">
        <is>
          <t>TRADED</t>
        </is>
      </c>
      <c r="Z9" s="11" t="n"/>
      <c r="AA9" s="12" t="n"/>
      <c r="AB9" s="13" t="inlineStr">
        <is>
          <t>NOT_LISTED</t>
        </is>
      </c>
    </row>
    <row r="10">
      <c r="A10" s="8" t="inlineStr">
        <is>
          <t>2026-02-20</t>
        </is>
      </c>
      <c r="B10" s="11" t="n">
        <v>129.68</v>
      </c>
      <c r="C10" s="12" t="n">
        <v>3640700</v>
      </c>
      <c r="D10" s="13" t="inlineStr">
        <is>
          <t>TRADED</t>
        </is>
      </c>
      <c r="E10" s="11" t="n">
        <v>132.79</v>
      </c>
      <c r="F10" s="12" t="n">
        <v>8309000</v>
      </c>
      <c r="G10" s="13" t="inlineStr">
        <is>
          <t>TRADED</t>
        </is>
      </c>
      <c r="H10" s="11" t="n">
        <v>151.04</v>
      </c>
      <c r="I10" s="12" t="n">
        <v>7467400</v>
      </c>
      <c r="J10" s="13" t="inlineStr">
        <is>
          <t>TRADED</t>
        </is>
      </c>
      <c r="K10" s="11" t="n">
        <v>158.87</v>
      </c>
      <c r="L10" s="12" t="n">
        <v>3259800</v>
      </c>
      <c r="M10" s="13" t="inlineStr">
        <is>
          <t>TRADED</t>
        </is>
      </c>
      <c r="N10" s="11" t="n">
        <v>373.38</v>
      </c>
      <c r="O10" s="12" t="n">
        <v>2600300</v>
      </c>
      <c r="P10" s="13" t="inlineStr">
        <is>
          <t>TRADED</t>
        </is>
      </c>
      <c r="Q10" s="11" t="n">
        <v>830.34</v>
      </c>
      <c r="R10" s="12" t="n">
        <v>1709100</v>
      </c>
      <c r="S10" s="13" t="inlineStr">
        <is>
          <t>TRADED</t>
        </is>
      </c>
      <c r="T10" s="11" t="n">
        <v>96.08</v>
      </c>
      <c r="U10" s="12" t="n">
        <v>4631600</v>
      </c>
      <c r="V10" s="13" t="inlineStr">
        <is>
          <t>TRADED</t>
        </is>
      </c>
      <c r="W10" s="11" t="n">
        <v>324.85</v>
      </c>
      <c r="X10" s="12" t="n">
        <v>2603500</v>
      </c>
      <c r="Y10" s="13" t="inlineStr">
        <is>
          <t>TRADED</t>
        </is>
      </c>
      <c r="Z10" s="11" t="n"/>
      <c r="AA10" s="12" t="n"/>
      <c r="AB10" s="13" t="inlineStr">
        <is>
          <t>NOT_LISTED</t>
        </is>
      </c>
    </row>
    <row r="11">
      <c r="A11" s="8" t="inlineStr">
        <is>
          <t>2026-02-23</t>
        </is>
      </c>
      <c r="B11" s="11" t="n">
        <v>128.24</v>
      </c>
      <c r="C11" s="12" t="n">
        <v>3023600</v>
      </c>
      <c r="D11" s="13" t="inlineStr">
        <is>
          <t>TRADED</t>
        </is>
      </c>
      <c r="E11" s="11" t="n">
        <v>127.43</v>
      </c>
      <c r="F11" s="12" t="n">
        <v>9706800</v>
      </c>
      <c r="G11" s="13" t="inlineStr">
        <is>
          <t>TRADED</t>
        </is>
      </c>
      <c r="H11" s="11" t="n">
        <v>147.82</v>
      </c>
      <c r="I11" s="12" t="n">
        <v>6070400</v>
      </c>
      <c r="J11" s="13" t="inlineStr">
        <is>
          <t>TRADED</t>
        </is>
      </c>
      <c r="K11" s="11" t="n">
        <v>159.27</v>
      </c>
      <c r="L11" s="12" t="n">
        <v>2618900</v>
      </c>
      <c r="M11" s="13" t="inlineStr">
        <is>
          <t>TRADED</t>
        </is>
      </c>
      <c r="N11" s="11" t="n">
        <v>362.05</v>
      </c>
      <c r="O11" s="12" t="n">
        <v>2920800</v>
      </c>
      <c r="P11" s="13" t="inlineStr">
        <is>
          <t>TRADED</t>
        </is>
      </c>
      <c r="Q11" s="11" t="n">
        <v>831.7</v>
      </c>
      <c r="R11" s="12" t="n">
        <v>1438200</v>
      </c>
      <c r="S11" s="13" t="inlineStr">
        <is>
          <t>TRADED</t>
        </is>
      </c>
      <c r="T11" s="11" t="n">
        <v>94.31</v>
      </c>
      <c r="U11" s="12" t="n">
        <v>3365100</v>
      </c>
      <c r="V11" s="13" t="inlineStr">
        <is>
          <t>TRADED</t>
        </is>
      </c>
      <c r="W11" s="11" t="n">
        <v>318.5</v>
      </c>
      <c r="X11" s="12" t="n">
        <v>2567600</v>
      </c>
      <c r="Y11" s="13" t="inlineStr">
        <is>
          <t>TRADED</t>
        </is>
      </c>
      <c r="Z11" s="11" t="n"/>
      <c r="AA11" s="12" t="n"/>
      <c r="AB11" s="13" t="inlineStr">
        <is>
          <t>NOT_LISTED</t>
        </is>
      </c>
    </row>
    <row r="12">
      <c r="A12" s="8" t="inlineStr">
        <is>
          <t>2026-02-24</t>
        </is>
      </c>
      <c r="B12" s="11" t="n">
        <v>128.4</v>
      </c>
      <c r="C12" s="12" t="n">
        <v>2894000</v>
      </c>
      <c r="D12" s="13" t="inlineStr">
        <is>
          <t>TRADED</t>
        </is>
      </c>
      <c r="E12" s="11" t="n">
        <v>128.77</v>
      </c>
      <c r="F12" s="12" t="n">
        <v>8120000</v>
      </c>
      <c r="G12" s="13" t="inlineStr">
        <is>
          <t>TRADED</t>
        </is>
      </c>
      <c r="H12" s="11" t="n">
        <v>151.5</v>
      </c>
      <c r="I12" s="12" t="n">
        <v>8000400</v>
      </c>
      <c r="J12" s="13" t="inlineStr">
        <is>
          <t>TRADED</t>
        </is>
      </c>
      <c r="K12" s="11" t="n">
        <v>161.04</v>
      </c>
      <c r="L12" s="12" t="n">
        <v>2792500</v>
      </c>
      <c r="M12" s="13" t="inlineStr">
        <is>
          <t>TRADED</t>
        </is>
      </c>
      <c r="N12" s="11" t="n">
        <v>374.56</v>
      </c>
      <c r="O12" s="12" t="n">
        <v>2387200</v>
      </c>
      <c r="P12" s="13" t="inlineStr">
        <is>
          <t>TRADED</t>
        </is>
      </c>
      <c r="Q12" s="11" t="n">
        <v>879.73</v>
      </c>
      <c r="R12" s="12" t="n">
        <v>2305300</v>
      </c>
      <c r="S12" s="13" t="inlineStr">
        <is>
          <t>TRADED</t>
        </is>
      </c>
      <c r="T12" s="11" t="n">
        <v>90.68000000000001</v>
      </c>
      <c r="U12" s="12" t="n">
        <v>6008700</v>
      </c>
      <c r="V12" s="13" t="inlineStr">
        <is>
          <t>TRADED</t>
        </is>
      </c>
      <c r="W12" s="11" t="n">
        <v>329.09</v>
      </c>
      <c r="X12" s="12" t="n">
        <v>2271300</v>
      </c>
      <c r="Y12" s="13" t="inlineStr">
        <is>
          <t>TRADED</t>
        </is>
      </c>
      <c r="Z12" s="11" t="n"/>
      <c r="AA12" s="12" t="n"/>
      <c r="AB12" s="13" t="inlineStr">
        <is>
          <t>NOT_LISTED</t>
        </is>
      </c>
    </row>
    <row r="13">
      <c r="A13" s="8" t="inlineStr">
        <is>
          <t>2026-02-25</t>
        </is>
      </c>
      <c r="B13" s="11" t="n">
        <v>128.15</v>
      </c>
      <c r="C13" s="12" t="n">
        <v>5330300</v>
      </c>
      <c r="D13" s="13" t="inlineStr">
        <is>
          <t>TRADED</t>
        </is>
      </c>
      <c r="E13" s="11" t="n">
        <v>132.89</v>
      </c>
      <c r="F13" s="12" t="n">
        <v>7611600</v>
      </c>
      <c r="G13" s="13" t="inlineStr">
        <is>
          <t>TRADED</t>
        </is>
      </c>
      <c r="H13" s="11" t="n">
        <v>152.64</v>
      </c>
      <c r="I13" s="12" t="n">
        <v>5653500</v>
      </c>
      <c r="J13" s="13" t="inlineStr">
        <is>
          <t>TRADED</t>
        </is>
      </c>
      <c r="K13" s="11" t="n">
        <v>160.02</v>
      </c>
      <c r="L13" s="12" t="n">
        <v>2575600</v>
      </c>
      <c r="M13" s="13" t="inlineStr">
        <is>
          <t>TRADED</t>
        </is>
      </c>
      <c r="N13" s="11" t="n">
        <v>373.53</v>
      </c>
      <c r="O13" s="12" t="n">
        <v>2300100</v>
      </c>
      <c r="P13" s="13" t="inlineStr">
        <is>
          <t>TRADED</t>
        </is>
      </c>
      <c r="Q13" s="11" t="n">
        <v>876.01</v>
      </c>
      <c r="R13" s="12" t="n">
        <v>2293100</v>
      </c>
      <c r="S13" s="13" t="inlineStr">
        <is>
          <t>TRADED</t>
        </is>
      </c>
      <c r="T13" s="11" t="n">
        <v>88.23</v>
      </c>
      <c r="U13" s="12" t="n">
        <v>2349900</v>
      </c>
      <c r="V13" s="13" t="inlineStr">
        <is>
          <t>TRADED</t>
        </is>
      </c>
      <c r="W13" s="11" t="n">
        <v>342.82</v>
      </c>
      <c r="X13" s="12" t="n">
        <v>3102700</v>
      </c>
      <c r="Y13" s="13" t="inlineStr">
        <is>
          <t>TRADED</t>
        </is>
      </c>
      <c r="Z13" s="11" t="n"/>
      <c r="AA13" s="12" t="n"/>
      <c r="AB13" s="13" t="inlineStr">
        <is>
          <t>NOT_LISTED</t>
        </is>
      </c>
    </row>
    <row r="14">
      <c r="A14" s="8" t="inlineStr">
        <is>
          <t>2026-02-26</t>
        </is>
      </c>
      <c r="B14" s="11" t="n">
        <v>124.67</v>
      </c>
      <c r="C14" s="12" t="n">
        <v>3800700</v>
      </c>
      <c r="D14" s="13" t="inlineStr">
        <is>
          <t>TRADED</t>
        </is>
      </c>
      <c r="E14" s="11" t="n">
        <v>130.25</v>
      </c>
      <c r="F14" s="12" t="n">
        <v>6360700</v>
      </c>
      <c r="G14" s="13" t="inlineStr">
        <is>
          <t>TRADED</t>
        </is>
      </c>
      <c r="H14" s="11" t="n">
        <v>148.47</v>
      </c>
      <c r="I14" s="12" t="n">
        <v>7755500</v>
      </c>
      <c r="J14" s="13" t="inlineStr">
        <is>
          <t>TRADED</t>
        </is>
      </c>
      <c r="K14" s="11" t="n">
        <v>163.55</v>
      </c>
      <c r="L14" s="12" t="n">
        <v>1750600</v>
      </c>
      <c r="M14" s="13" t="inlineStr">
        <is>
          <t>TRADED</t>
        </is>
      </c>
      <c r="N14" s="11" t="n">
        <v>374.59</v>
      </c>
      <c r="O14" s="12" t="n">
        <v>2231100</v>
      </c>
      <c r="P14" s="13" t="inlineStr">
        <is>
          <t>TRADED</t>
        </is>
      </c>
      <c r="Q14" s="11" t="n">
        <v>876.46</v>
      </c>
      <c r="R14" s="12" t="n">
        <v>2796700</v>
      </c>
      <c r="S14" s="13" t="inlineStr">
        <is>
          <t>TRADED</t>
        </is>
      </c>
      <c r="T14" s="11" t="n">
        <v>92.14</v>
      </c>
      <c r="U14" s="12" t="n">
        <v>2605000</v>
      </c>
      <c r="V14" s="13" t="inlineStr">
        <is>
          <t>TRADED</t>
        </is>
      </c>
      <c r="W14" s="11" t="n">
        <v>332.7</v>
      </c>
      <c r="X14" s="12" t="n">
        <v>4915300</v>
      </c>
      <c r="Y14" s="13" t="inlineStr">
        <is>
          <t>TRADED</t>
        </is>
      </c>
      <c r="Z14" s="11" t="n"/>
      <c r="AA14" s="12" t="n"/>
      <c r="AB14" s="13" t="inlineStr">
        <is>
          <t>NOT_LISTED</t>
        </is>
      </c>
    </row>
    <row r="15">
      <c r="A15" s="8" t="inlineStr">
        <is>
          <t>2026-02-27</t>
        </is>
      </c>
      <c r="B15" s="11" t="n">
        <v>118.83</v>
      </c>
      <c r="C15" s="12" t="n">
        <v>5156500</v>
      </c>
      <c r="D15" s="13" t="inlineStr">
        <is>
          <t>TRADED</t>
        </is>
      </c>
      <c r="E15" s="11" t="n">
        <v>133.5</v>
      </c>
      <c r="F15" s="12" t="n">
        <v>9043300</v>
      </c>
      <c r="G15" s="13" t="inlineStr">
        <is>
          <t>TRADED</t>
        </is>
      </c>
      <c r="H15" s="11" t="n">
        <v>146.06</v>
      </c>
      <c r="I15" s="12" t="n">
        <v>9827500</v>
      </c>
      <c r="J15" s="13" t="inlineStr">
        <is>
          <t>TRADED</t>
        </is>
      </c>
      <c r="K15" s="11" t="n">
        <v>163.59</v>
      </c>
      <c r="L15" s="12" t="n">
        <v>2107400</v>
      </c>
      <c r="M15" s="13" t="inlineStr">
        <is>
          <t>TRADED</t>
        </is>
      </c>
      <c r="N15" s="11" t="n">
        <v>375.92</v>
      </c>
      <c r="O15" s="12" t="n">
        <v>2169000</v>
      </c>
      <c r="P15" s="13" t="inlineStr">
        <is>
          <t>TRADED</t>
        </is>
      </c>
      <c r="Q15" s="11" t="n">
        <v>873.6</v>
      </c>
      <c r="R15" s="12" t="n">
        <v>2456200</v>
      </c>
      <c r="S15" s="13" t="inlineStr">
        <is>
          <t>TRADED</t>
        </is>
      </c>
      <c r="T15" s="11" t="n">
        <v>86.18000000000001</v>
      </c>
      <c r="U15" s="12" t="n">
        <v>13317900</v>
      </c>
      <c r="V15" s="13" t="inlineStr">
        <is>
          <t>TRADED</t>
        </is>
      </c>
      <c r="W15" s="11" t="n">
        <v>320.03</v>
      </c>
      <c r="X15" s="12" t="n">
        <v>4426300</v>
      </c>
      <c r="Y15" s="13" t="inlineStr">
        <is>
          <t>TRADED</t>
        </is>
      </c>
      <c r="Z15" s="11" t="n"/>
      <c r="AA15" s="12" t="n"/>
      <c r="AB15" s="13" t="inlineStr">
        <is>
          <t>NOT_LISTED</t>
        </is>
      </c>
    </row>
    <row r="16">
      <c r="A16" s="8" t="inlineStr">
        <is>
          <t>2026-03-02</t>
        </is>
      </c>
      <c r="B16" s="11" t="n">
        <v>120.55</v>
      </c>
      <c r="C16" s="12" t="n">
        <v>4652100</v>
      </c>
      <c r="D16" s="13" t="inlineStr">
        <is>
          <t>TRADED</t>
        </is>
      </c>
      <c r="E16" s="11" t="n">
        <v>129.3</v>
      </c>
      <c r="F16" s="12" t="n">
        <v>6875000</v>
      </c>
      <c r="G16" s="13" t="inlineStr">
        <is>
          <t>TRADED</t>
        </is>
      </c>
      <c r="H16" s="11" t="n">
        <v>135.16</v>
      </c>
      <c r="I16" s="12" t="n">
        <v>14746800</v>
      </c>
      <c r="J16" s="13" t="inlineStr">
        <is>
          <t>TRADED</t>
        </is>
      </c>
      <c r="K16" s="11" t="n">
        <v>166.42</v>
      </c>
      <c r="L16" s="12" t="n">
        <v>2090100</v>
      </c>
      <c r="M16" s="13" t="inlineStr">
        <is>
          <t>TRADED</t>
        </is>
      </c>
      <c r="N16" s="11" t="n">
        <v>377.4</v>
      </c>
      <c r="O16" s="12" t="n">
        <v>1828400</v>
      </c>
      <c r="P16" s="13" t="inlineStr">
        <is>
          <t>TRADED</t>
        </is>
      </c>
      <c r="Q16" s="11" t="n">
        <v>881.1799999999999</v>
      </c>
      <c r="R16" s="12" t="n">
        <v>2421400</v>
      </c>
      <c r="S16" s="13" t="inlineStr">
        <is>
          <t>TRADED</t>
        </is>
      </c>
      <c r="T16" s="11" t="n">
        <v>90.72</v>
      </c>
      <c r="U16" s="12" t="n">
        <v>18913800</v>
      </c>
      <c r="V16" s="13" t="inlineStr">
        <is>
          <t>TRADED</t>
        </is>
      </c>
      <c r="W16" s="11" t="n">
        <v>325.83</v>
      </c>
      <c r="X16" s="12" t="n">
        <v>2488700</v>
      </c>
      <c r="Y16" s="13" t="inlineStr">
        <is>
          <t>TRADED</t>
        </is>
      </c>
      <c r="Z16" s="11" t="n"/>
      <c r="AA16" s="12" t="n"/>
      <c r="AB16" s="13" t="inlineStr">
        <is>
          <t>NOT_LISTED</t>
        </is>
      </c>
    </row>
    <row r="17">
      <c r="A17" s="8" t="inlineStr">
        <is>
          <t>2026-03-03</t>
        </is>
      </c>
      <c r="B17" s="11" t="n">
        <v>109.8</v>
      </c>
      <c r="C17" s="12" t="n">
        <v>5896200</v>
      </c>
      <c r="D17" s="13" t="inlineStr">
        <is>
          <t>TRADED</t>
        </is>
      </c>
      <c r="E17" s="11" t="n">
        <v>124.6</v>
      </c>
      <c r="F17" s="12" t="n">
        <v>6119700</v>
      </c>
      <c r="G17" s="13" t="inlineStr">
        <is>
          <t>TRADED</t>
        </is>
      </c>
      <c r="H17" s="11" t="n">
        <v>129.58</v>
      </c>
      <c r="I17" s="12" t="n">
        <v>15242100</v>
      </c>
      <c r="J17" s="13" t="inlineStr">
        <is>
          <t>TRADED</t>
        </is>
      </c>
      <c r="K17" s="11" t="n">
        <v>156.96</v>
      </c>
      <c r="L17" s="12" t="n">
        <v>3011500</v>
      </c>
      <c r="M17" s="13" t="inlineStr">
        <is>
          <t>TRADED</t>
        </is>
      </c>
      <c r="N17" s="11" t="n">
        <v>355.56</v>
      </c>
      <c r="O17" s="12" t="n">
        <v>2864200</v>
      </c>
      <c r="P17" s="13" t="inlineStr">
        <is>
          <t>TRADED</t>
        </is>
      </c>
      <c r="Q17" s="11" t="n">
        <v>842</v>
      </c>
      <c r="R17" s="12" t="n">
        <v>3558100</v>
      </c>
      <c r="S17" s="13" t="inlineStr">
        <is>
          <t>TRADED</t>
        </is>
      </c>
      <c r="T17" s="11" t="n">
        <v>88.95</v>
      </c>
      <c r="U17" s="12" t="n">
        <v>8315500</v>
      </c>
      <c r="V17" s="13" t="inlineStr">
        <is>
          <t>TRADED</t>
        </is>
      </c>
      <c r="W17" s="11" t="n">
        <v>304.22</v>
      </c>
      <c r="X17" s="12" t="n">
        <v>3698500</v>
      </c>
      <c r="Y17" s="13" t="inlineStr">
        <is>
          <t>TRADED</t>
        </is>
      </c>
      <c r="Z17" s="11" t="n"/>
      <c r="AA17" s="12" t="n"/>
      <c r="AB17" s="13" t="inlineStr">
        <is>
          <t>NOT_LISTED</t>
        </is>
      </c>
    </row>
    <row r="18">
      <c r="A18" s="8" t="inlineStr">
        <is>
          <t>2026-03-04</t>
        </is>
      </c>
      <c r="B18" s="11" t="n">
        <v>113.77</v>
      </c>
      <c r="C18" s="12" t="n">
        <v>5440100</v>
      </c>
      <c r="D18" s="13" t="inlineStr">
        <is>
          <t>TRADED</t>
        </is>
      </c>
      <c r="E18" s="11" t="n">
        <v>134.83</v>
      </c>
      <c r="F18" s="12" t="n">
        <v>6897700</v>
      </c>
      <c r="G18" s="13" t="inlineStr">
        <is>
          <t>TRADED</t>
        </is>
      </c>
      <c r="H18" s="11" t="n">
        <v>132.75</v>
      </c>
      <c r="I18" s="12" t="n">
        <v>11544600</v>
      </c>
      <c r="J18" s="13" t="inlineStr">
        <is>
          <t>TRADED</t>
        </is>
      </c>
      <c r="K18" s="11" t="n">
        <v>161.82</v>
      </c>
      <c r="L18" s="12" t="n">
        <v>1663000</v>
      </c>
      <c r="M18" s="13" t="inlineStr">
        <is>
          <t>TRADED</t>
        </is>
      </c>
      <c r="N18" s="11" t="n">
        <v>354.46</v>
      </c>
      <c r="O18" s="12" t="n">
        <v>1793000</v>
      </c>
      <c r="P18" s="13" t="inlineStr">
        <is>
          <t>TRADED</t>
        </is>
      </c>
      <c r="Q18" s="11" t="n">
        <v>841.27</v>
      </c>
      <c r="R18" s="12" t="n">
        <v>1817500</v>
      </c>
      <c r="S18" s="13" t="inlineStr">
        <is>
          <t>TRADED</t>
        </is>
      </c>
      <c r="T18" s="11" t="n">
        <v>89.13</v>
      </c>
      <c r="U18" s="12" t="n">
        <v>3335600</v>
      </c>
      <c r="V18" s="13" t="inlineStr">
        <is>
          <t>TRADED</t>
        </is>
      </c>
      <c r="W18" s="11" t="n">
        <v>305.2</v>
      </c>
      <c r="X18" s="12" t="n">
        <v>3358900</v>
      </c>
      <c r="Y18" s="13" t="inlineStr">
        <is>
          <t>TRADED</t>
        </is>
      </c>
      <c r="Z18" s="11" t="n"/>
      <c r="AA18" s="12" t="n"/>
      <c r="AB18" s="13" t="inlineStr">
        <is>
          <t>NOT_LISTED</t>
        </is>
      </c>
    </row>
    <row r="19">
      <c r="A19" s="8" t="inlineStr">
        <is>
          <t>2026-03-05</t>
        </is>
      </c>
      <c r="B19" s="11" t="n">
        <v>120</v>
      </c>
      <c r="C19" s="12" t="n">
        <v>6435300</v>
      </c>
      <c r="D19" s="13" t="inlineStr">
        <is>
          <t>TRADED</t>
        </is>
      </c>
      <c r="E19" s="11" t="n">
        <v>139.4</v>
      </c>
      <c r="F19" s="12" t="n">
        <v>8384600</v>
      </c>
      <c r="G19" s="13" t="inlineStr">
        <is>
          <t>TRADED</t>
        </is>
      </c>
      <c r="H19" s="11" t="n">
        <v>136.24</v>
      </c>
      <c r="I19" s="12" t="n">
        <v>13918200</v>
      </c>
      <c r="J19" s="13" t="inlineStr">
        <is>
          <t>TRADED</t>
        </is>
      </c>
      <c r="K19" s="11" t="n">
        <v>154.18</v>
      </c>
      <c r="L19" s="12" t="n">
        <v>2391300</v>
      </c>
      <c r="M19" s="13" t="inlineStr">
        <is>
          <t>TRADED</t>
        </is>
      </c>
      <c r="N19" s="11" t="n">
        <v>354.79</v>
      </c>
      <c r="O19" s="12" t="n">
        <v>3219700</v>
      </c>
      <c r="P19" s="13" t="inlineStr">
        <is>
          <t>TRADED</t>
        </is>
      </c>
      <c r="Q19" s="11" t="n">
        <v>815.01</v>
      </c>
      <c r="R19" s="12" t="n">
        <v>3203700</v>
      </c>
      <c r="S19" s="13" t="inlineStr">
        <is>
          <t>TRADED</t>
        </is>
      </c>
      <c r="T19" s="11" t="n">
        <v>85.54000000000001</v>
      </c>
      <c r="U19" s="12" t="n">
        <v>4592800</v>
      </c>
      <c r="V19" s="13" t="inlineStr">
        <is>
          <t>TRADED</t>
        </is>
      </c>
      <c r="W19" s="11" t="n">
        <v>305.58</v>
      </c>
      <c r="X19" s="12" t="n">
        <v>3936100</v>
      </c>
      <c r="Y19" s="13" t="inlineStr">
        <is>
          <t>TRADED</t>
        </is>
      </c>
      <c r="Z19" s="11" t="n"/>
      <c r="AA19" s="12" t="n"/>
      <c r="AB19" s="13" t="inlineStr">
        <is>
          <t>NOT_LISTED</t>
        </is>
      </c>
    </row>
    <row r="20">
      <c r="A20" s="8" t="inlineStr">
        <is>
          <t>2026-03-06</t>
        </is>
      </c>
      <c r="B20" s="11" t="n">
        <v>119.2</v>
      </c>
      <c r="C20" s="12" t="n">
        <v>4434000</v>
      </c>
      <c r="D20" s="13" t="inlineStr">
        <is>
          <t>TRADED</t>
        </is>
      </c>
      <c r="E20" s="11" t="n">
        <v>132.89</v>
      </c>
      <c r="F20" s="12" t="n">
        <v>6282000</v>
      </c>
      <c r="G20" s="13" t="inlineStr">
        <is>
          <t>TRADED</t>
        </is>
      </c>
      <c r="H20" s="11" t="n">
        <v>131.87</v>
      </c>
      <c r="I20" s="12" t="n">
        <v>7975600</v>
      </c>
      <c r="J20" s="13" t="inlineStr">
        <is>
          <t>TRADED</t>
        </is>
      </c>
      <c r="K20" s="11" t="n">
        <v>150.09</v>
      </c>
      <c r="L20" s="12" t="n">
        <v>3059300</v>
      </c>
      <c r="M20" s="13" t="inlineStr">
        <is>
          <t>TRADED</t>
        </is>
      </c>
      <c r="N20" s="11" t="n">
        <v>347.75</v>
      </c>
      <c r="O20" s="12" t="n">
        <v>3795100</v>
      </c>
      <c r="P20" s="13" t="inlineStr">
        <is>
          <t>TRADED</t>
        </is>
      </c>
      <c r="Q20" s="11" t="n">
        <v>789.23</v>
      </c>
      <c r="R20" s="12" t="n">
        <v>2678600</v>
      </c>
      <c r="S20" s="13" t="inlineStr">
        <is>
          <t>TRADED</t>
        </is>
      </c>
      <c r="T20" s="11" t="n">
        <v>87</v>
      </c>
      <c r="U20" s="12" t="n">
        <v>5385600</v>
      </c>
      <c r="V20" s="13" t="inlineStr">
        <is>
          <t>TRADED</t>
        </is>
      </c>
      <c r="W20" s="11" t="n">
        <v>273.05</v>
      </c>
      <c r="X20" s="12" t="n">
        <v>5896900</v>
      </c>
      <c r="Y20" s="13" t="inlineStr">
        <is>
          <t>TRADED</t>
        </is>
      </c>
      <c r="Z20" s="11" t="n"/>
      <c r="AA20" s="12" t="n"/>
      <c r="AB20" s="13" t="inlineStr">
        <is>
          <t>NOT_LISTED</t>
        </is>
      </c>
    </row>
    <row r="21">
      <c r="A21" s="8" t="inlineStr">
        <is>
          <t>2026-03-09</t>
        </is>
      </c>
      <c r="B21" s="11" t="n">
        <v>122.31</v>
      </c>
      <c r="C21" s="12" t="n">
        <v>5939900</v>
      </c>
      <c r="D21" s="13" t="inlineStr">
        <is>
          <t>TRADED</t>
        </is>
      </c>
      <c r="E21" s="11" t="n">
        <v>137.17</v>
      </c>
      <c r="F21" s="12" t="n">
        <v>6715200</v>
      </c>
      <c r="G21" s="13" t="inlineStr">
        <is>
          <t>TRADED</t>
        </is>
      </c>
      <c r="H21" s="11" t="n">
        <v>136.06</v>
      </c>
      <c r="I21" s="12" t="n">
        <v>8755100</v>
      </c>
      <c r="J21" s="13" t="inlineStr">
        <is>
          <t>TRADED</t>
        </is>
      </c>
      <c r="K21" s="11" t="n">
        <v>156.7</v>
      </c>
      <c r="L21" s="12" t="n">
        <v>2520300</v>
      </c>
      <c r="M21" s="13" t="inlineStr">
        <is>
          <t>TRADED</t>
        </is>
      </c>
      <c r="N21" s="11" t="n">
        <v>353.87</v>
      </c>
      <c r="O21" s="12" t="n">
        <v>3409100</v>
      </c>
      <c r="P21" s="13" t="inlineStr">
        <is>
          <t>TRADED</t>
        </is>
      </c>
      <c r="Q21" s="11" t="n">
        <v>830.1</v>
      </c>
      <c r="R21" s="12" t="n">
        <v>2878000</v>
      </c>
      <c r="S21" s="13" t="inlineStr">
        <is>
          <t>TRADED</t>
        </is>
      </c>
      <c r="T21" s="11" t="n">
        <v>92.47</v>
      </c>
      <c r="U21" s="12" t="n">
        <v>5256000</v>
      </c>
      <c r="V21" s="13" t="inlineStr">
        <is>
          <t>TRADED</t>
        </is>
      </c>
      <c r="W21" s="11" t="n">
        <v>296.44</v>
      </c>
      <c r="X21" s="12" t="n">
        <v>6533700</v>
      </c>
      <c r="Y21" s="13" t="inlineStr">
        <is>
          <t>TRADED</t>
        </is>
      </c>
      <c r="Z21" s="11" t="n"/>
      <c r="AA21" s="12" t="n"/>
      <c r="AB21" s="13" t="inlineStr">
        <is>
          <t>NOT_LISTED</t>
        </is>
      </c>
    </row>
    <row r="22">
      <c r="A22" s="8" t="inlineStr">
        <is>
          <t>2026-03-10</t>
        </is>
      </c>
      <c r="B22" s="11" t="n">
        <v>116.48</v>
      </c>
      <c r="C22" s="12" t="n">
        <v>4284900</v>
      </c>
      <c r="D22" s="13" t="inlineStr">
        <is>
          <t>TRADED</t>
        </is>
      </c>
      <c r="E22" s="11" t="n">
        <v>139.62</v>
      </c>
      <c r="F22" s="12" t="n">
        <v>5435800</v>
      </c>
      <c r="G22" s="13" t="inlineStr">
        <is>
          <t>TRADED</t>
        </is>
      </c>
      <c r="H22" s="11" t="n">
        <v>136.74</v>
      </c>
      <c r="I22" s="12" t="n">
        <v>7156300</v>
      </c>
      <c r="J22" s="13" t="inlineStr">
        <is>
          <t>TRADED</t>
        </is>
      </c>
      <c r="K22" s="11" t="n">
        <v>158.97</v>
      </c>
      <c r="L22" s="12" t="n">
        <v>1876100</v>
      </c>
      <c r="M22" s="13" t="inlineStr">
        <is>
          <t>TRADED</t>
        </is>
      </c>
      <c r="N22" s="11" t="n">
        <v>361.06</v>
      </c>
      <c r="O22" s="12" t="n">
        <v>3646400</v>
      </c>
      <c r="P22" s="13" t="inlineStr">
        <is>
          <t>TRADED</t>
        </is>
      </c>
      <c r="Q22" s="11" t="n">
        <v>839.2</v>
      </c>
      <c r="R22" s="12" t="n">
        <v>2393600</v>
      </c>
      <c r="S22" s="13" t="inlineStr">
        <is>
          <t>TRADED</t>
        </is>
      </c>
      <c r="T22" s="11" t="n">
        <v>88.95999999999999</v>
      </c>
      <c r="U22" s="12" t="n">
        <v>3299800</v>
      </c>
      <c r="V22" s="13" t="inlineStr">
        <is>
          <t>TRADED</t>
        </is>
      </c>
      <c r="W22" s="11" t="n">
        <v>300.77</v>
      </c>
      <c r="X22" s="12" t="n">
        <v>2829500</v>
      </c>
      <c r="Y22" s="13" t="inlineStr">
        <is>
          <t>TRADED</t>
        </is>
      </c>
      <c r="Z22" s="11" t="n"/>
      <c r="AA22" s="12" t="n"/>
      <c r="AB22" s="13" t="inlineStr">
        <is>
          <t>NOT_LISTED</t>
        </is>
      </c>
    </row>
    <row r="23">
      <c r="A23" s="8" t="inlineStr">
        <is>
          <t>2026-03-11</t>
        </is>
      </c>
      <c r="B23" s="11" t="n">
        <v>124.71</v>
      </c>
      <c r="C23" s="12" t="n">
        <v>5401700</v>
      </c>
      <c r="D23" s="13" t="inlineStr">
        <is>
          <t>TRADED</t>
        </is>
      </c>
      <c r="E23" s="11" t="n">
        <v>138.23</v>
      </c>
      <c r="F23" s="12" t="n">
        <v>4165100</v>
      </c>
      <c r="G23" s="13" t="inlineStr">
        <is>
          <t>TRADED</t>
        </is>
      </c>
      <c r="H23" s="11" t="n">
        <v>134.54</v>
      </c>
      <c r="I23" s="12" t="n">
        <v>6626100</v>
      </c>
      <c r="J23" s="13" t="inlineStr">
        <is>
          <t>TRADED</t>
        </is>
      </c>
      <c r="K23" s="11" t="n">
        <v>157.47</v>
      </c>
      <c r="L23" s="12" t="n">
        <v>872900</v>
      </c>
      <c r="M23" s="13" t="inlineStr">
        <is>
          <t>TRADED</t>
        </is>
      </c>
      <c r="N23" s="11" t="n">
        <v>355.79</v>
      </c>
      <c r="O23" s="12" t="n">
        <v>2807300</v>
      </c>
      <c r="P23" s="13" t="inlineStr">
        <is>
          <t>TRADED</t>
        </is>
      </c>
      <c r="Q23" s="11" t="n">
        <v>847.65</v>
      </c>
      <c r="R23" s="12" t="n">
        <v>1706700</v>
      </c>
      <c r="S23" s="13" t="inlineStr">
        <is>
          <t>TRADED</t>
        </is>
      </c>
      <c r="T23" s="11" t="n">
        <v>88.92</v>
      </c>
      <c r="U23" s="12" t="n">
        <v>1946900</v>
      </c>
      <c r="V23" s="13" t="inlineStr">
        <is>
          <t>TRADED</t>
        </is>
      </c>
      <c r="W23" s="11" t="n">
        <v>301.99</v>
      </c>
      <c r="X23" s="12" t="n">
        <v>2580500</v>
      </c>
      <c r="Y23" s="13" t="inlineStr">
        <is>
          <t>TRADED</t>
        </is>
      </c>
      <c r="Z23" s="11" t="n"/>
      <c r="AA23" s="12" t="n"/>
      <c r="AB23" s="13" t="inlineStr">
        <is>
          <t>NOT_LISTED</t>
        </is>
      </c>
    </row>
    <row r="24">
      <c r="A24" s="8" t="inlineStr">
        <is>
          <t>2026-03-12</t>
        </is>
      </c>
      <c r="B24" s="11" t="n">
        <v>119.9</v>
      </c>
      <c r="C24" s="12" t="n">
        <v>3620700</v>
      </c>
      <c r="D24" s="13" t="inlineStr">
        <is>
          <t>TRADED</t>
        </is>
      </c>
      <c r="E24" s="11" t="n">
        <v>134.03</v>
      </c>
      <c r="F24" s="12" t="n">
        <v>5494200</v>
      </c>
      <c r="G24" s="13" t="inlineStr">
        <is>
          <t>TRADED</t>
        </is>
      </c>
      <c r="H24" s="11" t="n">
        <v>131.47</v>
      </c>
      <c r="I24" s="12" t="n">
        <v>8937400</v>
      </c>
      <c r="J24" s="13" t="inlineStr">
        <is>
          <t>TRADED</t>
        </is>
      </c>
      <c r="K24" s="11" t="n">
        <v>146.1</v>
      </c>
      <c r="L24" s="12" t="n">
        <v>3360900</v>
      </c>
      <c r="M24" s="13" t="inlineStr">
        <is>
          <t>TRADED</t>
        </is>
      </c>
      <c r="N24" s="11" t="n">
        <v>348.64</v>
      </c>
      <c r="O24" s="12" t="n">
        <v>2429200</v>
      </c>
      <c r="P24" s="13" t="inlineStr">
        <is>
          <t>TRADED</t>
        </is>
      </c>
      <c r="Q24" s="11" t="n">
        <v>832.11</v>
      </c>
      <c r="R24" s="12" t="n">
        <v>2142900</v>
      </c>
      <c r="S24" s="13" t="inlineStr">
        <is>
          <t>TRADED</t>
        </is>
      </c>
      <c r="T24" s="11" t="n">
        <v>89.45999999999999</v>
      </c>
      <c r="U24" s="12" t="n">
        <v>3941100</v>
      </c>
      <c r="V24" s="13" t="inlineStr">
        <is>
          <t>TRADED</t>
        </is>
      </c>
      <c r="W24" s="11" t="n">
        <v>286.61</v>
      </c>
      <c r="X24" s="12" t="n">
        <v>2956400</v>
      </c>
      <c r="Y24" s="13" t="inlineStr">
        <is>
          <t>TRADED</t>
        </is>
      </c>
      <c r="Z24" s="11" t="n"/>
      <c r="AA24" s="12" t="n"/>
      <c r="AB24" s="13" t="inlineStr">
        <is>
          <t>NOT_LISTED</t>
        </is>
      </c>
    </row>
    <row r="25">
      <c r="A25" s="8" t="inlineStr">
        <is>
          <t>2026-03-13</t>
        </is>
      </c>
      <c r="B25" s="11" t="n">
        <v>120.31</v>
      </c>
      <c r="C25" s="12" t="n">
        <v>3447100</v>
      </c>
      <c r="D25" s="13" t="inlineStr">
        <is>
          <t>TRADED</t>
        </is>
      </c>
      <c r="E25" s="11" t="n">
        <v>133.57</v>
      </c>
      <c r="F25" s="12" t="n">
        <v>5364800</v>
      </c>
      <c r="G25" s="13" t="inlineStr">
        <is>
          <t>TRADED</t>
        </is>
      </c>
      <c r="H25" s="11" t="n">
        <v>133.92</v>
      </c>
      <c r="I25" s="12" t="n">
        <v>7246900</v>
      </c>
      <c r="J25" s="13" t="inlineStr">
        <is>
          <t>TRADED</t>
        </is>
      </c>
      <c r="K25" s="11" t="n">
        <v>141.97</v>
      </c>
      <c r="L25" s="12" t="n">
        <v>2033900</v>
      </c>
      <c r="M25" s="13" t="inlineStr">
        <is>
          <t>TRADED</t>
        </is>
      </c>
      <c r="N25" s="11" t="n">
        <v>355.4</v>
      </c>
      <c r="O25" s="12" t="n">
        <v>3581800</v>
      </c>
      <c r="P25" s="13" t="inlineStr">
        <is>
          <t>TRADED</t>
        </is>
      </c>
      <c r="Q25" s="11" t="n">
        <v>805.02</v>
      </c>
      <c r="R25" s="12" t="n">
        <v>2271100</v>
      </c>
      <c r="S25" s="13" t="inlineStr">
        <is>
          <t>TRADED</t>
        </is>
      </c>
      <c r="T25" s="11" t="n">
        <v>87.53</v>
      </c>
      <c r="U25" s="12" t="n">
        <v>2754000</v>
      </c>
      <c r="V25" s="13" t="inlineStr">
        <is>
          <t>TRADED</t>
        </is>
      </c>
      <c r="W25" s="11" t="n">
        <v>286.42</v>
      </c>
      <c r="X25" s="12" t="n">
        <v>2166100</v>
      </c>
      <c r="Y25" s="13" t="inlineStr">
        <is>
          <t>TRADED</t>
        </is>
      </c>
      <c r="Z25" s="11" t="n"/>
      <c r="AA25" s="12" t="n"/>
      <c r="AB25" s="13" t="inlineStr">
        <is>
          <t>NOT_LISTED</t>
        </is>
      </c>
    </row>
    <row r="26">
      <c r="A26" s="8" t="inlineStr">
        <is>
          <t>2026-03-16</t>
        </is>
      </c>
      <c r="B26" s="11" t="n">
        <v>127.48</v>
      </c>
      <c r="C26" s="12" t="n">
        <v>4610400</v>
      </c>
      <c r="D26" s="13" t="inlineStr">
        <is>
          <t>TRADED</t>
        </is>
      </c>
      <c r="E26" s="11" t="n">
        <v>135.35</v>
      </c>
      <c r="F26" s="12" t="n">
        <v>7884200</v>
      </c>
      <c r="G26" s="13" t="inlineStr">
        <is>
          <t>TRADED</t>
        </is>
      </c>
      <c r="H26" s="11" t="n">
        <v>136.8</v>
      </c>
      <c r="I26" s="12" t="n">
        <v>10492800</v>
      </c>
      <c r="J26" s="13" t="inlineStr">
        <is>
          <t>TRADED</t>
        </is>
      </c>
      <c r="K26" s="11" t="n">
        <v>147.48</v>
      </c>
      <c r="L26" s="12" t="n">
        <v>1652700</v>
      </c>
      <c r="M26" s="13" t="inlineStr">
        <is>
          <t>TRADED</t>
        </is>
      </c>
      <c r="N26" s="11" t="n">
        <v>361.04</v>
      </c>
      <c r="O26" s="12" t="n">
        <v>3493900</v>
      </c>
      <c r="P26" s="13" t="inlineStr">
        <is>
          <t>TRADED</t>
        </is>
      </c>
      <c r="Q26" s="11" t="n">
        <v>827.37</v>
      </c>
      <c r="R26" s="12" t="n">
        <v>2361400</v>
      </c>
      <c r="S26" s="13" t="inlineStr">
        <is>
          <t>TRADED</t>
        </is>
      </c>
      <c r="T26" s="11" t="n">
        <v>89.53</v>
      </c>
      <c r="U26" s="12" t="n">
        <v>2424500</v>
      </c>
      <c r="V26" s="13" t="inlineStr">
        <is>
          <t>TRADED</t>
        </is>
      </c>
      <c r="W26" s="11" t="n">
        <v>298.27</v>
      </c>
      <c r="X26" s="12" t="n">
        <v>2448400</v>
      </c>
      <c r="Y26" s="13" t="inlineStr">
        <is>
          <t>TRADED</t>
        </is>
      </c>
      <c r="Z26" s="11" t="n"/>
      <c r="AA26" s="12" t="n"/>
      <c r="AB26" s="13" t="inlineStr">
        <is>
          <t>NOT_LISTED</t>
        </is>
      </c>
    </row>
    <row r="27">
      <c r="A27" s="8" t="inlineStr">
        <is>
          <t>2026-03-17</t>
        </is>
      </c>
      <c r="B27" s="11" t="n">
        <v>127.57</v>
      </c>
      <c r="C27" s="12" t="n">
        <v>5941300</v>
      </c>
      <c r="D27" s="13" t="inlineStr">
        <is>
          <t>TRADED</t>
        </is>
      </c>
      <c r="E27" s="11" t="n">
        <v>133.07</v>
      </c>
      <c r="F27" s="12" t="n">
        <v>5959000</v>
      </c>
      <c r="G27" s="13" t="inlineStr">
        <is>
          <t>TRADED</t>
        </is>
      </c>
      <c r="H27" s="11" t="n">
        <v>135.12</v>
      </c>
      <c r="I27" s="12" t="n">
        <v>13196400</v>
      </c>
      <c r="J27" s="13" t="inlineStr">
        <is>
          <t>TRADED</t>
        </is>
      </c>
      <c r="K27" s="11" t="n">
        <v>148.83</v>
      </c>
      <c r="L27" s="12" t="n">
        <v>1697700</v>
      </c>
      <c r="M27" s="13" t="inlineStr">
        <is>
          <t>TRADED</t>
        </is>
      </c>
      <c r="N27" s="11" t="n">
        <v>363.95</v>
      </c>
      <c r="O27" s="12" t="n">
        <v>1942300</v>
      </c>
      <c r="P27" s="13" t="inlineStr">
        <is>
          <t>TRADED</t>
        </is>
      </c>
      <c r="Q27" s="11" t="n">
        <v>844.05</v>
      </c>
      <c r="R27" s="12" t="n">
        <v>2259300</v>
      </c>
      <c r="S27" s="13" t="inlineStr">
        <is>
          <t>TRADED</t>
        </is>
      </c>
      <c r="T27" s="11" t="n">
        <v>95.31</v>
      </c>
      <c r="U27" s="12" t="n">
        <v>3273700</v>
      </c>
      <c r="V27" s="13" t="inlineStr">
        <is>
          <t>TRADED</t>
        </is>
      </c>
      <c r="W27" s="11" t="n">
        <v>299.4</v>
      </c>
      <c r="X27" s="12" t="n">
        <v>2481800</v>
      </c>
      <c r="Y27" s="13" t="inlineStr">
        <is>
          <t>TRADED</t>
        </is>
      </c>
      <c r="Z27" s="11" t="n"/>
      <c r="AA27" s="12" t="n"/>
      <c r="AB27" s="13" t="inlineStr">
        <is>
          <t>NOT_LISTED</t>
        </is>
      </c>
    </row>
    <row r="28">
      <c r="A28" s="8" t="inlineStr">
        <is>
          <t>2026-03-18</t>
        </is>
      </c>
      <c r="B28" s="11" t="n">
        <v>126.34</v>
      </c>
      <c r="C28" s="12" t="n">
        <v>3844900</v>
      </c>
      <c r="D28" s="13" t="inlineStr">
        <is>
          <t>TRADED</t>
        </is>
      </c>
      <c r="E28" s="11" t="n">
        <v>136.07</v>
      </c>
      <c r="F28" s="12" t="n">
        <v>5264100</v>
      </c>
      <c r="G28" s="13" t="inlineStr">
        <is>
          <t>TRADED</t>
        </is>
      </c>
      <c r="H28" s="11" t="n">
        <v>127.81</v>
      </c>
      <c r="I28" s="12" t="n">
        <v>12619000</v>
      </c>
      <c r="J28" s="13" t="inlineStr">
        <is>
          <t>TRADED</t>
        </is>
      </c>
      <c r="K28" s="11" t="n">
        <v>149.64</v>
      </c>
      <c r="L28" s="12" t="n">
        <v>1266100</v>
      </c>
      <c r="M28" s="13" t="inlineStr">
        <is>
          <t>TRADED</t>
        </is>
      </c>
      <c r="N28" s="11" t="n">
        <v>360.54</v>
      </c>
      <c r="O28" s="12" t="n">
        <v>2240200</v>
      </c>
      <c r="P28" s="13" t="inlineStr">
        <is>
          <t>TRADED</t>
        </is>
      </c>
      <c r="Q28" s="11" t="n">
        <v>858.47</v>
      </c>
      <c r="R28" s="12" t="n">
        <v>2193100</v>
      </c>
      <c r="S28" s="13" t="inlineStr">
        <is>
          <t>TRADED</t>
        </is>
      </c>
      <c r="T28" s="11" t="n">
        <v>93.04000000000001</v>
      </c>
      <c r="U28" s="12" t="n">
        <v>2846900</v>
      </c>
      <c r="V28" s="13" t="inlineStr">
        <is>
          <t>TRADED</t>
        </is>
      </c>
      <c r="W28" s="11" t="n">
        <v>300.07</v>
      </c>
      <c r="X28" s="12" t="n">
        <v>2653400</v>
      </c>
      <c r="Y28" s="13" t="inlineStr">
        <is>
          <t>TRADED</t>
        </is>
      </c>
      <c r="Z28" s="11" t="n"/>
      <c r="AA28" s="12" t="n"/>
      <c r="AB28" s="13" t="inlineStr">
        <is>
          <t>NOT_LISTED</t>
        </is>
      </c>
    </row>
    <row r="29">
      <c r="A29" s="8" t="inlineStr">
        <is>
          <t>2026-03-19</t>
        </is>
      </c>
      <c r="B29" s="11" t="n">
        <v>126.16</v>
      </c>
      <c r="C29" s="12" t="n">
        <v>4170300</v>
      </c>
      <c r="D29" s="13" t="inlineStr">
        <is>
          <t>TRADED</t>
        </is>
      </c>
      <c r="E29" s="11" t="n">
        <v>136.26</v>
      </c>
      <c r="F29" s="12" t="n">
        <v>4418900</v>
      </c>
      <c r="G29" s="13" t="inlineStr">
        <is>
          <t>TRADED</t>
        </is>
      </c>
      <c r="H29" s="11" t="n">
        <v>130.65</v>
      </c>
      <c r="I29" s="12" t="n">
        <v>7153800</v>
      </c>
      <c r="J29" s="13" t="inlineStr">
        <is>
          <t>TRADED</t>
        </is>
      </c>
      <c r="K29" s="11" t="n">
        <v>147.54</v>
      </c>
      <c r="L29" s="12" t="n">
        <v>1705600</v>
      </c>
      <c r="M29" s="13" t="inlineStr">
        <is>
          <t>TRADED</t>
        </is>
      </c>
      <c r="N29" s="11" t="n">
        <v>360.23</v>
      </c>
      <c r="O29" s="12" t="n">
        <v>2144800</v>
      </c>
      <c r="P29" s="13" t="inlineStr">
        <is>
          <t>TRADED</t>
        </is>
      </c>
      <c r="Q29" s="11" t="n">
        <v>877.39</v>
      </c>
      <c r="R29" s="12" t="n">
        <v>2509500</v>
      </c>
      <c r="S29" s="13" t="inlineStr">
        <is>
          <t>TRADED</t>
        </is>
      </c>
      <c r="T29" s="11" t="n">
        <v>92.78</v>
      </c>
      <c r="U29" s="12" t="n">
        <v>2404900</v>
      </c>
      <c r="V29" s="13" t="inlineStr">
        <is>
          <t>TRADED</t>
        </is>
      </c>
      <c r="W29" s="11" t="n">
        <v>302.4</v>
      </c>
      <c r="X29" s="12" t="n">
        <v>2808100</v>
      </c>
      <c r="Y29" s="13" t="inlineStr">
        <is>
          <t>TRADED</t>
        </is>
      </c>
      <c r="Z29" s="11" t="n"/>
      <c r="AA29" s="12" t="n"/>
      <c r="AB29" s="13" t="inlineStr">
        <is>
          <t>NOT_LISTED</t>
        </is>
      </c>
    </row>
    <row r="30">
      <c r="A30" s="8" t="inlineStr">
        <is>
          <t>2026-03-20</t>
        </is>
      </c>
      <c r="B30" s="11" t="n">
        <v>116.04</v>
      </c>
      <c r="C30" s="12" t="n">
        <v>8694500</v>
      </c>
      <c r="D30" s="13" t="inlineStr">
        <is>
          <t>TRADED</t>
        </is>
      </c>
      <c r="E30" s="11" t="n">
        <v>131.22</v>
      </c>
      <c r="F30" s="12" t="n">
        <v>11351600</v>
      </c>
      <c r="G30" s="13" t="inlineStr">
        <is>
          <t>TRADED</t>
        </is>
      </c>
      <c r="H30" s="11" t="n">
        <v>126.74</v>
      </c>
      <c r="I30" s="12" t="n">
        <v>14276100</v>
      </c>
      <c r="J30" s="13" t="inlineStr">
        <is>
          <t>TRADED</t>
        </is>
      </c>
      <c r="K30" s="11" t="n">
        <v>141.8</v>
      </c>
      <c r="L30" s="12" t="n">
        <v>3402200</v>
      </c>
      <c r="M30" s="13" t="inlineStr">
        <is>
          <t>TRADED</t>
        </is>
      </c>
      <c r="N30" s="11" t="n">
        <v>356.8</v>
      </c>
      <c r="O30" s="12" t="n">
        <v>4219100</v>
      </c>
      <c r="P30" s="13" t="inlineStr">
        <is>
          <t>TRADED</t>
        </is>
      </c>
      <c r="Q30" s="11" t="n">
        <v>851.0700000000001</v>
      </c>
      <c r="R30" s="12" t="n">
        <v>4438100</v>
      </c>
      <c r="S30" s="13" t="inlineStr">
        <is>
          <t>TRADED</t>
        </is>
      </c>
      <c r="T30" s="11" t="n">
        <v>84.62</v>
      </c>
      <c r="U30" s="12" t="n">
        <v>6896800</v>
      </c>
      <c r="V30" s="13" t="inlineStr">
        <is>
          <t>TRADED</t>
        </is>
      </c>
      <c r="W30" s="11" t="n">
        <v>290.83</v>
      </c>
      <c r="X30" s="12" t="n">
        <v>4996200</v>
      </c>
      <c r="Y30" s="13" t="inlineStr">
        <is>
          <t>TRADED</t>
        </is>
      </c>
      <c r="Z30" s="11" t="n"/>
      <c r="AA30" s="12" t="n"/>
      <c r="AB30" s="13" t="inlineStr">
        <is>
          <t>NOT_LISTED</t>
        </is>
      </c>
    </row>
    <row r="31">
      <c r="A31" s="8" t="inlineStr">
        <is>
          <t>2026-03-23</t>
        </is>
      </c>
      <c r="B31" s="11" t="n">
        <v>123.87</v>
      </c>
      <c r="C31" s="12" t="n">
        <v>4051700</v>
      </c>
      <c r="D31" s="13" t="inlineStr">
        <is>
          <t>TRADED</t>
        </is>
      </c>
      <c r="E31" s="11" t="n">
        <v>135.88</v>
      </c>
      <c r="F31" s="12" t="n">
        <v>6402200</v>
      </c>
      <c r="G31" s="13" t="inlineStr">
        <is>
          <t>TRADED</t>
        </is>
      </c>
      <c r="H31" s="11" t="n">
        <v>130.67</v>
      </c>
      <c r="I31" s="12" t="n">
        <v>7714500</v>
      </c>
      <c r="J31" s="13" t="inlineStr">
        <is>
          <t>TRADED</t>
        </is>
      </c>
      <c r="K31" s="11" t="n">
        <v>146.38</v>
      </c>
      <c r="L31" s="12" t="n">
        <v>1645800</v>
      </c>
      <c r="M31" s="13" t="inlineStr">
        <is>
          <t>TRADED</t>
        </is>
      </c>
      <c r="N31" s="11" t="n">
        <v>359.74</v>
      </c>
      <c r="O31" s="12" t="n">
        <v>2618100</v>
      </c>
      <c r="P31" s="13" t="inlineStr">
        <is>
          <t>TRADED</t>
        </is>
      </c>
      <c r="Q31" s="11" t="n">
        <v>882.64</v>
      </c>
      <c r="R31" s="12" t="n">
        <v>3353900</v>
      </c>
      <c r="S31" s="13" t="inlineStr">
        <is>
          <t>TRADED</t>
        </is>
      </c>
      <c r="T31" s="11" t="n">
        <v>83.69</v>
      </c>
      <c r="U31" s="12" t="n">
        <v>3198200</v>
      </c>
      <c r="V31" s="13" t="inlineStr">
        <is>
          <t>TRADED</t>
        </is>
      </c>
      <c r="W31" s="11" t="n">
        <v>303.92</v>
      </c>
      <c r="X31" s="12" t="n">
        <v>4243500</v>
      </c>
      <c r="Y31" s="13" t="inlineStr">
        <is>
          <t>TRADED</t>
        </is>
      </c>
      <c r="Z31" s="11" t="n"/>
      <c r="AA31" s="12" t="n"/>
      <c r="AB31" s="13" t="inlineStr">
        <is>
          <t>NOT_LISTED</t>
        </is>
      </c>
    </row>
    <row r="32">
      <c r="A32" s="8" t="inlineStr">
        <is>
          <t>2026-03-24</t>
        </is>
      </c>
      <c r="B32" s="11" t="n">
        <v>121.76</v>
      </c>
      <c r="C32" s="12" t="n">
        <v>2670200</v>
      </c>
      <c r="D32" s="13" t="inlineStr">
        <is>
          <t>TRADED</t>
        </is>
      </c>
      <c r="E32" s="11" t="n">
        <v>130.8</v>
      </c>
      <c r="F32" s="12" t="n">
        <v>7858900</v>
      </c>
      <c r="G32" s="13" t="inlineStr">
        <is>
          <t>TRADED</t>
        </is>
      </c>
      <c r="H32" s="11" t="n">
        <v>127.96</v>
      </c>
      <c r="I32" s="12" t="n">
        <v>9732300</v>
      </c>
      <c r="J32" s="13" t="inlineStr">
        <is>
          <t>TRADED</t>
        </is>
      </c>
      <c r="K32" s="11" t="n">
        <v>149.59</v>
      </c>
      <c r="L32" s="12" t="n">
        <v>2957300</v>
      </c>
      <c r="M32" s="13" t="inlineStr">
        <is>
          <t>TRADED</t>
        </is>
      </c>
      <c r="N32" s="11" t="n">
        <v>374.1</v>
      </c>
      <c r="O32" s="12" t="n">
        <v>2666100</v>
      </c>
      <c r="P32" s="13" t="inlineStr">
        <is>
          <t>TRADED</t>
        </is>
      </c>
      <c r="Q32" s="11" t="n">
        <v>909.41</v>
      </c>
      <c r="R32" s="12" t="n">
        <v>2777700</v>
      </c>
      <c r="S32" s="13" t="inlineStr">
        <is>
          <t>TRADED</t>
        </is>
      </c>
      <c r="T32" s="11" t="n">
        <v>77.48999999999999</v>
      </c>
      <c r="U32" s="12" t="n">
        <v>4535600</v>
      </c>
      <c r="V32" s="13" t="inlineStr">
        <is>
          <t>TRADED</t>
        </is>
      </c>
      <c r="W32" s="11" t="n">
        <v>320.14</v>
      </c>
      <c r="X32" s="12" t="n">
        <v>3207700</v>
      </c>
      <c r="Y32" s="13" t="inlineStr">
        <is>
          <t>TRADED</t>
        </is>
      </c>
      <c r="Z32" s="11" t="n"/>
      <c r="AA32" s="12" t="n"/>
      <c r="AB32" s="13" t="inlineStr">
        <is>
          <t>NOT_LISTED</t>
        </is>
      </c>
    </row>
    <row r="33">
      <c r="A33" s="8" t="inlineStr">
        <is>
          <t>2026-03-25</t>
        </is>
      </c>
      <c r="B33" s="11" t="n">
        <v>120.33</v>
      </c>
      <c r="C33" s="12" t="n">
        <v>2733300</v>
      </c>
      <c r="D33" s="13" t="inlineStr">
        <is>
          <t>TRADED</t>
        </is>
      </c>
      <c r="E33" s="11" t="n">
        <v>135.01</v>
      </c>
      <c r="F33" s="12" t="n">
        <v>5353300</v>
      </c>
      <c r="G33" s="13" t="inlineStr">
        <is>
          <t>TRADED</t>
        </is>
      </c>
      <c r="H33" s="11" t="n">
        <v>128.73</v>
      </c>
      <c r="I33" s="12" t="n">
        <v>11719600</v>
      </c>
      <c r="J33" s="13" t="inlineStr">
        <is>
          <t>TRADED</t>
        </is>
      </c>
      <c r="K33" s="11" t="n">
        <v>149</v>
      </c>
      <c r="L33" s="12" t="n">
        <v>2240100</v>
      </c>
      <c r="M33" s="13" t="inlineStr">
        <is>
          <t>TRADED</t>
        </is>
      </c>
      <c r="N33" s="11" t="n">
        <v>375</v>
      </c>
      <c r="O33" s="12" t="n">
        <v>2527400</v>
      </c>
      <c r="P33" s="13" t="inlineStr">
        <is>
          <t>TRADED</t>
        </is>
      </c>
      <c r="Q33" s="11" t="n">
        <v>923.6900000000001</v>
      </c>
      <c r="R33" s="12" t="n">
        <v>2864900</v>
      </c>
      <c r="S33" s="13" t="inlineStr">
        <is>
          <t>TRADED</t>
        </is>
      </c>
      <c r="T33" s="11" t="n">
        <v>79.98</v>
      </c>
      <c r="U33" s="12" t="n">
        <v>3950000</v>
      </c>
      <c r="V33" s="13" t="inlineStr">
        <is>
          <t>TRADED</t>
        </is>
      </c>
      <c r="W33" s="11" t="n">
        <v>323.36</v>
      </c>
      <c r="X33" s="12" t="n">
        <v>3077100</v>
      </c>
      <c r="Y33" s="13" t="inlineStr">
        <is>
          <t>TRADED</t>
        </is>
      </c>
      <c r="Z33" s="11" t="n"/>
      <c r="AA33" s="12" t="n"/>
      <c r="AB33" s="13" t="inlineStr">
        <is>
          <t>NOT_LISTED</t>
        </is>
      </c>
    </row>
    <row r="34">
      <c r="A34" s="8" t="inlineStr">
        <is>
          <t>2026-03-26</t>
        </is>
      </c>
      <c r="B34" s="11" t="n">
        <v>113.605</v>
      </c>
      <c r="C34" s="12" t="n">
        <v>3102200</v>
      </c>
      <c r="D34" s="13" t="inlineStr">
        <is>
          <t>TRADED</t>
        </is>
      </c>
      <c r="E34" s="11" t="n">
        <v>122.55</v>
      </c>
      <c r="F34" s="12" t="n">
        <v>7553500</v>
      </c>
      <c r="G34" s="13" t="inlineStr">
        <is>
          <t>TRADED</t>
        </is>
      </c>
      <c r="H34" s="11" t="n">
        <v>123.13</v>
      </c>
      <c r="I34" s="12" t="n">
        <v>9646200</v>
      </c>
      <c r="J34" s="13" t="inlineStr">
        <is>
          <t>TRADED</t>
        </is>
      </c>
      <c r="K34" s="11" t="n">
        <v>143.94</v>
      </c>
      <c r="L34" s="12" t="n">
        <v>1840200</v>
      </c>
      <c r="M34" s="13" t="inlineStr">
        <is>
          <t>TRADED</t>
        </is>
      </c>
      <c r="N34" s="11" t="n">
        <v>357.1</v>
      </c>
      <c r="O34" s="12" t="n">
        <v>2036900</v>
      </c>
      <c r="P34" s="13" t="inlineStr">
        <is>
          <t>TRADED</t>
        </is>
      </c>
      <c r="Q34" s="11" t="n">
        <v>873.12</v>
      </c>
      <c r="R34" s="12" t="n">
        <v>3000700</v>
      </c>
      <c r="S34" s="13" t="inlineStr">
        <is>
          <t>TRADED</t>
        </is>
      </c>
      <c r="T34" s="11" t="n">
        <v>75.86</v>
      </c>
      <c r="U34" s="12" t="n">
        <v>3024100</v>
      </c>
      <c r="V34" s="13" t="inlineStr">
        <is>
          <t>TRADED</t>
        </is>
      </c>
      <c r="W34" s="11" t="n">
        <v>297.34</v>
      </c>
      <c r="X34" s="12" t="n">
        <v>3017600</v>
      </c>
      <c r="Y34" s="13" t="inlineStr">
        <is>
          <t>TRADED</t>
        </is>
      </c>
      <c r="Z34" s="11" t="n"/>
      <c r="AA34" s="12" t="n"/>
      <c r="AB34" s="13" t="inlineStr">
        <is>
          <t>NOT_LISTED</t>
        </is>
      </c>
    </row>
    <row r="35">
      <c r="A35" s="8" t="inlineStr">
        <is>
          <t>2026-03-27</t>
        </is>
      </c>
      <c r="B35" s="11" t="n">
        <v>112.47</v>
      </c>
      <c r="C35" s="12" t="n">
        <v>2873800</v>
      </c>
      <c r="D35" s="13" t="inlineStr">
        <is>
          <t>TRADED</t>
        </is>
      </c>
      <c r="E35" s="11" t="n">
        <v>120.77</v>
      </c>
      <c r="F35" s="12" t="n">
        <v>5940200</v>
      </c>
      <c r="G35" s="13" t="inlineStr">
        <is>
          <t>TRADED</t>
        </is>
      </c>
      <c r="H35" s="11" t="n">
        <v>123.62</v>
      </c>
      <c r="I35" s="12" t="n">
        <v>7805800</v>
      </c>
      <c r="J35" s="13" t="inlineStr">
        <is>
          <t>TRADED</t>
        </is>
      </c>
      <c r="K35" s="11" t="n">
        <v>140.43</v>
      </c>
      <c r="L35" s="12" t="n">
        <v>1499800</v>
      </c>
      <c r="M35" s="13" t="inlineStr">
        <is>
          <t>TRADED</t>
        </is>
      </c>
      <c r="N35" s="11" t="n">
        <v>357.36</v>
      </c>
      <c r="O35" s="12" t="n">
        <v>2152100</v>
      </c>
      <c r="P35" s="13" t="inlineStr">
        <is>
          <t>TRADED</t>
        </is>
      </c>
      <c r="Q35" s="11" t="n">
        <v>853.16</v>
      </c>
      <c r="R35" s="12" t="n">
        <v>2494700</v>
      </c>
      <c r="S35" s="13" t="inlineStr">
        <is>
          <t>TRADED</t>
        </is>
      </c>
      <c r="T35" s="11" t="n">
        <v>71.94</v>
      </c>
      <c r="U35" s="12" t="n">
        <v>3186000</v>
      </c>
      <c r="V35" s="13" t="inlineStr">
        <is>
          <t>TRADED</t>
        </is>
      </c>
      <c r="W35" s="11" t="n">
        <v>295.61</v>
      </c>
      <c r="X35" s="12" t="n">
        <v>2164200</v>
      </c>
      <c r="Y35" s="13" t="inlineStr">
        <is>
          <t>TRADED</t>
        </is>
      </c>
      <c r="Z35" s="11" t="n"/>
      <c r="AA35" s="12" t="n"/>
      <c r="AB35" s="13" t="inlineStr">
        <is>
          <t>NOT_LISTED</t>
        </is>
      </c>
    </row>
    <row r="36">
      <c r="A36" s="8" t="inlineStr">
        <is>
          <t>2026-03-30</t>
        </is>
      </c>
      <c r="B36" s="11" t="n">
        <v>100.27</v>
      </c>
      <c r="C36" s="12" t="n">
        <v>5169600</v>
      </c>
      <c r="D36" s="13" t="inlineStr">
        <is>
          <t>TRADED</t>
        </is>
      </c>
      <c r="E36" s="11" t="n">
        <v>116.13</v>
      </c>
      <c r="F36" s="12" t="n">
        <v>7540500</v>
      </c>
      <c r="G36" s="13" t="inlineStr">
        <is>
          <t>TRADED</t>
        </is>
      </c>
      <c r="H36" s="11" t="n">
        <v>119.15</v>
      </c>
      <c r="I36" s="12" t="n">
        <v>8171700</v>
      </c>
      <c r="J36" s="13" t="inlineStr">
        <is>
          <t>TRADED</t>
        </is>
      </c>
      <c r="K36" s="11" t="n">
        <v>135.5</v>
      </c>
      <c r="L36" s="12" t="n">
        <v>2015100</v>
      </c>
      <c r="M36" s="13" t="inlineStr">
        <is>
          <t>TRADED</t>
        </is>
      </c>
      <c r="N36" s="11" t="n">
        <v>343.53</v>
      </c>
      <c r="O36" s="12" t="n">
        <v>3239200</v>
      </c>
      <c r="P36" s="13" t="inlineStr">
        <is>
          <t>TRADED</t>
        </is>
      </c>
      <c r="Q36" s="11" t="n">
        <v>817.35</v>
      </c>
      <c r="R36" s="12" t="n">
        <v>2830800</v>
      </c>
      <c r="S36" s="13" t="inlineStr">
        <is>
          <t>TRADED</t>
        </is>
      </c>
      <c r="T36" s="11" t="n">
        <v>65.28</v>
      </c>
      <c r="U36" s="12" t="n">
        <v>5501500</v>
      </c>
      <c r="V36" s="13" t="inlineStr">
        <is>
          <t>TRADED</t>
        </is>
      </c>
      <c r="W36" s="11" t="n">
        <v>276.35</v>
      </c>
      <c r="X36" s="12" t="n">
        <v>3130100</v>
      </c>
      <c r="Y36" s="13" t="inlineStr">
        <is>
          <t>TRADED</t>
        </is>
      </c>
      <c r="Z36" s="11" t="n"/>
      <c r="AA36" s="12" t="n"/>
      <c r="AB36" s="13" t="inlineStr">
        <is>
          <t>NOT_LISTED</t>
        </is>
      </c>
    </row>
    <row r="37">
      <c r="A37" s="8" t="inlineStr">
        <is>
          <t>2026-03-31</t>
        </is>
      </c>
      <c r="B37" s="11" t="n">
        <v>109.6</v>
      </c>
      <c r="C37" s="12" t="n">
        <v>5104500</v>
      </c>
      <c r="D37" s="13" t="inlineStr">
        <is>
          <t>TRADED</t>
        </is>
      </c>
      <c r="E37" s="11" t="n">
        <v>122.78</v>
      </c>
      <c r="F37" s="12" t="n">
        <v>7837700</v>
      </c>
      <c r="G37" s="13" t="inlineStr">
        <is>
          <t>TRADED</t>
        </is>
      </c>
      <c r="H37" s="11" t="n">
        <v>126.35</v>
      </c>
      <c r="I37" s="12" t="n">
        <v>10075700</v>
      </c>
      <c r="J37" s="13" t="inlineStr">
        <is>
          <t>TRADED</t>
        </is>
      </c>
      <c r="K37" s="11" t="n">
        <v>145.46</v>
      </c>
      <c r="L37" s="12" t="n">
        <v>2756400</v>
      </c>
      <c r="M37" s="13" t="inlineStr">
        <is>
          <t>TRADED</t>
        </is>
      </c>
      <c r="N37" s="11" t="n">
        <v>357.67</v>
      </c>
      <c r="O37" s="12" t="n">
        <v>2175100</v>
      </c>
      <c r="P37" s="13" t="inlineStr">
        <is>
          <t>TRADED</t>
        </is>
      </c>
      <c r="Q37" s="11" t="n">
        <v>872.9</v>
      </c>
      <c r="R37" s="12" t="n">
        <v>3469200</v>
      </c>
      <c r="S37" s="13" t="inlineStr">
        <is>
          <t>TRADED</t>
        </is>
      </c>
      <c r="T37" s="11" t="n">
        <v>70.51000000000001</v>
      </c>
      <c r="U37" s="12" t="n">
        <v>6105300</v>
      </c>
      <c r="V37" s="13" t="inlineStr">
        <is>
          <t>TRADED</t>
        </is>
      </c>
      <c r="W37" s="11" t="n">
        <v>296.46</v>
      </c>
      <c r="X37" s="12" t="n">
        <v>3354000</v>
      </c>
      <c r="Y37" s="13" t="inlineStr">
        <is>
          <t>TRADED</t>
        </is>
      </c>
      <c r="Z37" s="11" t="n"/>
      <c r="AA37" s="12" t="n"/>
      <c r="AB37" s="13" t="inlineStr">
        <is>
          <t>NOT_LISTED</t>
        </is>
      </c>
    </row>
    <row r="38">
      <c r="A38" s="8" t="inlineStr">
        <is>
          <t>2026-04-01</t>
        </is>
      </c>
      <c r="B38" s="11" t="n">
        <v>106.33</v>
      </c>
      <c r="C38" s="12" t="n">
        <v>4783100</v>
      </c>
      <c r="D38" s="13" t="inlineStr">
        <is>
          <t>TRADED</t>
        </is>
      </c>
      <c r="E38" s="11" t="n">
        <v>124.85</v>
      </c>
      <c r="F38" s="12" t="n">
        <v>5037700</v>
      </c>
      <c r="G38" s="13" t="inlineStr">
        <is>
          <t>TRADED</t>
        </is>
      </c>
      <c r="H38" s="11" t="n">
        <v>127.7</v>
      </c>
      <c r="I38" s="12" t="n">
        <v>7359900</v>
      </c>
      <c r="J38" s="13" t="inlineStr">
        <is>
          <t>TRADED</t>
        </is>
      </c>
      <c r="K38" s="11" t="n">
        <v>151.25</v>
      </c>
      <c r="L38" s="12" t="n">
        <v>3420300</v>
      </c>
      <c r="M38" s="13" t="inlineStr">
        <is>
          <t>TRADED</t>
        </is>
      </c>
      <c r="N38" s="11" t="n">
        <v>365.56</v>
      </c>
      <c r="O38" s="12" t="n">
        <v>1980500</v>
      </c>
      <c r="P38" s="13" t="inlineStr">
        <is>
          <t>TRADED</t>
        </is>
      </c>
      <c r="Q38" s="11" t="n">
        <v>894.78</v>
      </c>
      <c r="R38" s="12" t="n">
        <v>2467700</v>
      </c>
      <c r="S38" s="13" t="inlineStr">
        <is>
          <t>TRADED</t>
        </is>
      </c>
      <c r="T38" s="11" t="n">
        <v>67.7</v>
      </c>
      <c r="U38" s="12" t="n">
        <v>4421500</v>
      </c>
      <c r="V38" s="13" t="inlineStr">
        <is>
          <t>TRADED</t>
        </is>
      </c>
      <c r="W38" s="11" t="n">
        <v>312.2</v>
      </c>
      <c r="X38" s="12" t="n">
        <v>2961800</v>
      </c>
      <c r="Y38" s="13" t="inlineStr">
        <is>
          <t>TRADED</t>
        </is>
      </c>
      <c r="Z38" s="11" t="n"/>
      <c r="AA38" s="12" t="n"/>
      <c r="AB38" s="13" t="inlineStr">
        <is>
          <t>NOT_LISTED</t>
        </is>
      </c>
    </row>
    <row r="39">
      <c r="A39" s="8" t="inlineStr">
        <is>
          <t>2026-04-02</t>
        </is>
      </c>
      <c r="B39" s="11" t="n">
        <v>117.14</v>
      </c>
      <c r="C39" s="12" t="n">
        <v>4496100</v>
      </c>
      <c r="D39" s="13" t="inlineStr">
        <is>
          <t>TRADED</t>
        </is>
      </c>
      <c r="E39" s="11" t="n">
        <v>126.68</v>
      </c>
      <c r="F39" s="12" t="n">
        <v>5125100</v>
      </c>
      <c r="G39" s="13" t="inlineStr">
        <is>
          <t>TRADED</t>
        </is>
      </c>
      <c r="H39" s="11" t="n">
        <v>128</v>
      </c>
      <c r="I39" s="12" t="n">
        <v>5587600</v>
      </c>
      <c r="J39" s="13" t="inlineStr">
        <is>
          <t>TRADED</t>
        </is>
      </c>
      <c r="K39" s="11" t="n">
        <v>146.63</v>
      </c>
      <c r="L39" s="12" t="n">
        <v>2211900</v>
      </c>
      <c r="M39" s="13" t="inlineStr">
        <is>
          <t>TRADED</t>
        </is>
      </c>
      <c r="N39" s="11" t="n">
        <v>361.1</v>
      </c>
      <c r="O39" s="12" t="n">
        <v>1424600</v>
      </c>
      <c r="P39" s="13" t="inlineStr">
        <is>
          <t>TRADED</t>
        </is>
      </c>
      <c r="Q39" s="11" t="n">
        <v>898.5700000000001</v>
      </c>
      <c r="R39" s="12" t="n">
        <v>1944100</v>
      </c>
      <c r="S39" s="13" t="inlineStr">
        <is>
          <t>TRADED</t>
        </is>
      </c>
      <c r="T39" s="11" t="n">
        <v>67.31</v>
      </c>
      <c r="U39" s="12" t="n">
        <v>4392500</v>
      </c>
      <c r="V39" s="13" t="inlineStr">
        <is>
          <t>TRADED</t>
        </is>
      </c>
      <c r="W39" s="11" t="n">
        <v>309.61</v>
      </c>
      <c r="X39" s="12" t="n">
        <v>2744900</v>
      </c>
      <c r="Y39" s="13" t="inlineStr">
        <is>
          <t>TRADED</t>
        </is>
      </c>
      <c r="Z39" s="11" t="n"/>
      <c r="AA39" s="12" t="n"/>
      <c r="AB39" s="13" t="inlineStr">
        <is>
          <t>NOT_LISTED</t>
        </is>
      </c>
    </row>
    <row r="40">
      <c r="A40" s="8" t="inlineStr">
        <is>
          <t>2026-04-06</t>
        </is>
      </c>
      <c r="B40" s="11" t="n">
        <v>117.99</v>
      </c>
      <c r="C40" s="12" t="n">
        <v>2726300</v>
      </c>
      <c r="D40" s="13" t="inlineStr">
        <is>
          <t>TRADED</t>
        </is>
      </c>
      <c r="E40" s="11" t="n">
        <v>126.25</v>
      </c>
      <c r="F40" s="12" t="n">
        <v>3033100</v>
      </c>
      <c r="G40" s="13" t="inlineStr">
        <is>
          <t>TRADED</t>
        </is>
      </c>
      <c r="H40" s="11" t="n">
        <v>126.49</v>
      </c>
      <c r="I40" s="12" t="n">
        <v>4605600</v>
      </c>
      <c r="J40" s="13" t="inlineStr">
        <is>
          <t>TRADED</t>
        </is>
      </c>
      <c r="K40" s="11" t="n">
        <v>147.96</v>
      </c>
      <c r="L40" s="12" t="n">
        <v>977500</v>
      </c>
      <c r="M40" s="13" t="inlineStr">
        <is>
          <t>TRADED</t>
        </is>
      </c>
      <c r="N40" s="11" t="n">
        <v>363.89</v>
      </c>
      <c r="O40" s="12" t="n">
        <v>1360900</v>
      </c>
      <c r="P40" s="13" t="inlineStr">
        <is>
          <t>TRADED</t>
        </is>
      </c>
      <c r="Q40" s="11" t="n">
        <v>897.36</v>
      </c>
      <c r="R40" s="12" t="n">
        <v>1386300</v>
      </c>
      <c r="S40" s="13" t="inlineStr">
        <is>
          <t>TRADED</t>
        </is>
      </c>
      <c r="T40" s="11" t="n">
        <v>74.09</v>
      </c>
      <c r="U40" s="12" t="n">
        <v>4140200</v>
      </c>
      <c r="V40" s="13" t="inlineStr">
        <is>
          <t>TRADED</t>
        </is>
      </c>
      <c r="W40" s="11" t="n">
        <v>315.43</v>
      </c>
      <c r="X40" s="12" t="n">
        <v>1762900</v>
      </c>
      <c r="Y40" s="13" t="inlineStr">
        <is>
          <t>TRADED</t>
        </is>
      </c>
      <c r="Z40" s="11" t="n"/>
      <c r="AA40" s="12" t="n"/>
      <c r="AB40" s="13" t="inlineStr">
        <is>
          <t>NOT_LISTED</t>
        </is>
      </c>
    </row>
    <row r="41">
      <c r="A41" s="8" t="inlineStr">
        <is>
          <t>2026-04-07</t>
        </is>
      </c>
      <c r="B41" s="11" t="n">
        <v>118.99</v>
      </c>
      <c r="C41" s="12" t="n">
        <v>4452300</v>
      </c>
      <c r="D41" s="13" t="inlineStr">
        <is>
          <t>TRADED</t>
        </is>
      </c>
      <c r="E41" s="11" t="n">
        <v>133.64</v>
      </c>
      <c r="F41" s="12" t="n">
        <v>5758000</v>
      </c>
      <c r="G41" s="13" t="inlineStr">
        <is>
          <t>TRADED</t>
        </is>
      </c>
      <c r="H41" s="11" t="n">
        <v>128.38</v>
      </c>
      <c r="I41" s="12" t="n">
        <v>4462100</v>
      </c>
      <c r="J41" s="13" t="inlineStr">
        <is>
          <t>TRADED</t>
        </is>
      </c>
      <c r="K41" s="11" t="n">
        <v>147.28</v>
      </c>
      <c r="L41" s="12" t="n">
        <v>1067000</v>
      </c>
      <c r="M41" s="13" t="inlineStr">
        <is>
          <t>TRADED</t>
        </is>
      </c>
      <c r="N41" s="11" t="n">
        <v>368.85</v>
      </c>
      <c r="O41" s="12" t="n">
        <v>2185300</v>
      </c>
      <c r="P41" s="13" t="inlineStr">
        <is>
          <t>TRADED</t>
        </is>
      </c>
      <c r="Q41" s="11" t="n">
        <v>910.75</v>
      </c>
      <c r="R41" s="12" t="n">
        <v>1399100</v>
      </c>
      <c r="S41" s="13" t="inlineStr">
        <is>
          <t>TRADED</t>
        </is>
      </c>
      <c r="T41" s="11" t="n">
        <v>71.95999999999999</v>
      </c>
      <c r="U41" s="12" t="n">
        <v>2886000</v>
      </c>
      <c r="V41" s="13" t="inlineStr">
        <is>
          <t>TRADED</t>
        </is>
      </c>
      <c r="W41" s="11" t="n">
        <v>320.48</v>
      </c>
      <c r="X41" s="12" t="n">
        <v>1894800</v>
      </c>
      <c r="Y41" s="13" t="inlineStr">
        <is>
          <t>TRADED</t>
        </is>
      </c>
      <c r="Z41" s="11" t="n"/>
      <c r="AA41" s="12" t="n"/>
      <c r="AB41" s="13" t="inlineStr">
        <is>
          <t>NOT_LISTED</t>
        </is>
      </c>
    </row>
    <row r="42">
      <c r="A42" s="8" t="inlineStr">
        <is>
          <t>2026-04-08</t>
        </is>
      </c>
      <c r="B42" s="11" t="n">
        <v>125.46</v>
      </c>
      <c r="C42" s="12" t="n">
        <v>4105900</v>
      </c>
      <c r="D42" s="13" t="inlineStr">
        <is>
          <t>TRADED</t>
        </is>
      </c>
      <c r="E42" s="11" t="n">
        <v>145.07</v>
      </c>
      <c r="F42" s="12" t="n">
        <v>12136800</v>
      </c>
      <c r="G42" s="13" t="inlineStr">
        <is>
          <t>TRADED</t>
        </is>
      </c>
      <c r="H42" s="11" t="n">
        <v>135.32</v>
      </c>
      <c r="I42" s="12" t="n">
        <v>7055700</v>
      </c>
      <c r="J42" s="13" t="inlineStr">
        <is>
          <t>TRADED</t>
        </is>
      </c>
      <c r="K42" s="11" t="n">
        <v>156.39</v>
      </c>
      <c r="L42" s="12" t="n">
        <v>2657600</v>
      </c>
      <c r="M42" s="13" t="inlineStr">
        <is>
          <t>TRADED</t>
        </is>
      </c>
      <c r="N42" s="11" t="n">
        <v>385.58</v>
      </c>
      <c r="O42" s="12" t="n">
        <v>2255100</v>
      </c>
      <c r="P42" s="13" t="inlineStr">
        <is>
          <t>TRADED</t>
        </is>
      </c>
      <c r="Q42" s="11" t="n">
        <v>936.0700000000001</v>
      </c>
      <c r="R42" s="12" t="n">
        <v>2336900</v>
      </c>
      <c r="S42" s="13" t="inlineStr">
        <is>
          <t>TRADED</t>
        </is>
      </c>
      <c r="T42" s="11" t="n">
        <v>74.45999999999999</v>
      </c>
      <c r="U42" s="12" t="n">
        <v>3692400</v>
      </c>
      <c r="V42" s="13" t="inlineStr">
        <is>
          <t>TRADED</t>
        </is>
      </c>
      <c r="W42" s="11" t="n">
        <v>358.29</v>
      </c>
      <c r="X42" s="12" t="n">
        <v>5814100</v>
      </c>
      <c r="Y42" s="13" t="inlineStr">
        <is>
          <t>TRADED</t>
        </is>
      </c>
      <c r="Z42" s="11" t="n"/>
      <c r="AA42" s="12" t="n"/>
      <c r="AB42" s="13" t="inlineStr">
        <is>
          <t>NOT_LISTED</t>
        </is>
      </c>
    </row>
    <row r="43">
      <c r="A43" s="8" t="inlineStr">
        <is>
          <t>2026-04-09</t>
        </is>
      </c>
      <c r="B43" s="11" t="n">
        <v>129.46</v>
      </c>
      <c r="C43" s="12" t="n">
        <v>3766900</v>
      </c>
      <c r="D43" s="13" t="inlineStr">
        <is>
          <t>TRADED</t>
        </is>
      </c>
      <c r="E43" s="11" t="n">
        <v>146.05</v>
      </c>
      <c r="F43" s="12" t="n">
        <v>7266100</v>
      </c>
      <c r="G43" s="13" t="inlineStr">
        <is>
          <t>TRADED</t>
        </is>
      </c>
      <c r="H43" s="11" t="n">
        <v>137.68</v>
      </c>
      <c r="I43" s="12" t="n">
        <v>6807600</v>
      </c>
      <c r="J43" s="13" t="inlineStr">
        <is>
          <t>TRADED</t>
        </is>
      </c>
      <c r="K43" s="11" t="n">
        <v>159.63</v>
      </c>
      <c r="L43" s="12" t="n">
        <v>1879800</v>
      </c>
      <c r="M43" s="13" t="inlineStr">
        <is>
          <t>TRADED</t>
        </is>
      </c>
      <c r="N43" s="11" t="n">
        <v>400.44</v>
      </c>
      <c r="O43" s="12" t="n">
        <v>2134100</v>
      </c>
      <c r="P43" s="13" t="inlineStr">
        <is>
          <t>TRADED</t>
        </is>
      </c>
      <c r="Q43" s="11" t="n">
        <v>968.02</v>
      </c>
      <c r="R43" s="12" t="n">
        <v>2061300</v>
      </c>
      <c r="S43" s="13" t="inlineStr">
        <is>
          <t>TRADED</t>
        </is>
      </c>
      <c r="T43" s="11" t="n">
        <v>68.33</v>
      </c>
      <c r="U43" s="12" t="n">
        <v>3788400</v>
      </c>
      <c r="V43" s="13" t="inlineStr">
        <is>
          <t>TRADED</t>
        </is>
      </c>
      <c r="W43" s="11" t="n">
        <v>364.21</v>
      </c>
      <c r="X43" s="12" t="n">
        <v>4484300</v>
      </c>
      <c r="Y43" s="13" t="inlineStr">
        <is>
          <t>TRADED</t>
        </is>
      </c>
      <c r="Z43" s="11" t="n"/>
      <c r="AA43" s="12" t="n"/>
      <c r="AB43" s="13" t="inlineStr">
        <is>
          <t>NOT_LISTED</t>
        </is>
      </c>
    </row>
    <row r="44">
      <c r="A44" s="8" t="inlineStr">
        <is>
          <t>2026-04-10</t>
        </is>
      </c>
      <c r="B44" s="11" t="n">
        <v>149.05</v>
      </c>
      <c r="C44" s="12" t="n">
        <v>10909500</v>
      </c>
      <c r="D44" s="13" t="inlineStr">
        <is>
          <t>TRADED</t>
        </is>
      </c>
      <c r="E44" s="11" t="n">
        <v>147.35</v>
      </c>
      <c r="F44" s="12" t="n">
        <v>7054100</v>
      </c>
      <c r="G44" s="13" t="inlineStr">
        <is>
          <t>TRADED</t>
        </is>
      </c>
      <c r="H44" s="11" t="n">
        <v>140.75</v>
      </c>
      <c r="I44" s="12" t="n">
        <v>9737500</v>
      </c>
      <c r="J44" s="13" t="inlineStr">
        <is>
          <t>TRADED</t>
        </is>
      </c>
      <c r="K44" s="11" t="n">
        <v>162.21</v>
      </c>
      <c r="L44" s="12" t="n">
        <v>1270900</v>
      </c>
      <c r="M44" s="13" t="inlineStr">
        <is>
          <t>TRADED</t>
        </is>
      </c>
      <c r="N44" s="11" t="n">
        <v>403</v>
      </c>
      <c r="O44" s="12" t="n">
        <v>2218700</v>
      </c>
      <c r="P44" s="13" t="inlineStr">
        <is>
          <t>TRADED</t>
        </is>
      </c>
      <c r="Q44" s="11" t="n">
        <v>991.3200000000001</v>
      </c>
      <c r="R44" s="12" t="n">
        <v>2164600</v>
      </c>
      <c r="S44" s="13" t="inlineStr">
        <is>
          <t>TRADED</t>
        </is>
      </c>
      <c r="T44" s="11" t="n">
        <v>70.34</v>
      </c>
      <c r="U44" s="12" t="n">
        <v>2887200</v>
      </c>
      <c r="V44" s="13" t="inlineStr">
        <is>
          <t>TRADED</t>
        </is>
      </c>
      <c r="W44" s="11" t="n">
        <v>367.99</v>
      </c>
      <c r="X44" s="12" t="n">
        <v>3113400</v>
      </c>
      <c r="Y44" s="13" t="inlineStr">
        <is>
          <t>TRADED</t>
        </is>
      </c>
      <c r="Z44" s="11" t="n"/>
      <c r="AA44" s="12" t="n"/>
      <c r="AB44" s="13" t="inlineStr">
        <is>
          <t>NOT_LISTED</t>
        </is>
      </c>
    </row>
    <row r="45">
      <c r="A45" s="8" t="inlineStr">
        <is>
          <t>2026-04-13</t>
        </is>
      </c>
      <c r="B45" s="11" t="n">
        <v>166.795</v>
      </c>
      <c r="C45" s="12" t="n">
        <v>10035200</v>
      </c>
      <c r="D45" s="13" t="inlineStr">
        <is>
          <t>TRADED</t>
        </is>
      </c>
      <c r="E45" s="11" t="n">
        <v>152.02</v>
      </c>
      <c r="F45" s="12" t="n">
        <v>7217900</v>
      </c>
      <c r="G45" s="13" t="inlineStr">
        <is>
          <t>TRADED</t>
        </is>
      </c>
      <c r="H45" s="11" t="n">
        <v>145.27</v>
      </c>
      <c r="I45" s="12" t="n">
        <v>7635000</v>
      </c>
      <c r="J45" s="13" t="inlineStr">
        <is>
          <t>TRADED</t>
        </is>
      </c>
      <c r="K45" s="11" t="n">
        <v>163.78</v>
      </c>
      <c r="L45" s="12" t="n">
        <v>968600</v>
      </c>
      <c r="M45" s="13" t="inlineStr">
        <is>
          <t>TRADED</t>
        </is>
      </c>
      <c r="N45" s="11" t="n">
        <v>403.36</v>
      </c>
      <c r="O45" s="12" t="n">
        <v>1818700</v>
      </c>
      <c r="P45" s="13" t="inlineStr">
        <is>
          <t>TRADED</t>
        </is>
      </c>
      <c r="Q45" s="11" t="n">
        <v>991.12</v>
      </c>
      <c r="R45" s="12" t="n">
        <v>1636200</v>
      </c>
      <c r="S45" s="13" t="inlineStr">
        <is>
          <t>TRADED</t>
        </is>
      </c>
      <c r="T45" s="11" t="n">
        <v>73.55</v>
      </c>
      <c r="U45" s="12" t="n">
        <v>2564100</v>
      </c>
      <c r="V45" s="13" t="inlineStr">
        <is>
          <t>TRADED</t>
        </is>
      </c>
      <c r="W45" s="11" t="n">
        <v>370.13</v>
      </c>
      <c r="X45" s="12" t="n">
        <v>2434700</v>
      </c>
      <c r="Y45" s="13" t="inlineStr">
        <is>
          <t>TRADED</t>
        </is>
      </c>
      <c r="Z45" s="11" t="n"/>
      <c r="AA45" s="12" t="n"/>
      <c r="AB45" s="13" t="inlineStr">
        <is>
          <t>NOT_LISTED</t>
        </is>
      </c>
    </row>
    <row r="46">
      <c r="A46" s="8" t="inlineStr">
        <is>
          <t>2026-04-14</t>
        </is>
      </c>
      <c r="B46" s="11" t="n">
        <v>170.6</v>
      </c>
      <c r="C46" s="12" t="n">
        <v>7658900</v>
      </c>
      <c r="D46" s="13" t="inlineStr">
        <is>
          <t>TRADED</t>
        </is>
      </c>
      <c r="E46" s="11" t="n">
        <v>154.37</v>
      </c>
      <c r="F46" s="12" t="n">
        <v>7114000</v>
      </c>
      <c r="G46" s="13" t="inlineStr">
        <is>
          <t>TRADED</t>
        </is>
      </c>
      <c r="H46" s="11" t="n">
        <v>148.72</v>
      </c>
      <c r="I46" s="12" t="n">
        <v>8364400</v>
      </c>
      <c r="J46" s="13" t="inlineStr">
        <is>
          <t>TRADED</t>
        </is>
      </c>
      <c r="K46" s="11" t="n">
        <v>163.03</v>
      </c>
      <c r="L46" s="12" t="n">
        <v>895200</v>
      </c>
      <c r="M46" s="13" t="inlineStr">
        <is>
          <t>TRADED</t>
        </is>
      </c>
      <c r="N46" s="11" t="n">
        <v>401.9</v>
      </c>
      <c r="O46" s="12" t="n">
        <v>1825900</v>
      </c>
      <c r="P46" s="13" t="inlineStr">
        <is>
          <t>TRADED</t>
        </is>
      </c>
      <c r="Q46" s="11" t="n">
        <v>987.5</v>
      </c>
      <c r="R46" s="12" t="n">
        <v>2028300</v>
      </c>
      <c r="S46" s="13" t="inlineStr">
        <is>
          <t>TRADED</t>
        </is>
      </c>
      <c r="T46" s="11" t="n">
        <v>73.66</v>
      </c>
      <c r="U46" s="12" t="n">
        <v>2586300</v>
      </c>
      <c r="V46" s="13" t="inlineStr">
        <is>
          <t>TRADED</t>
        </is>
      </c>
      <c r="W46" s="11" t="n">
        <v>365.51</v>
      </c>
      <c r="X46" s="12" t="n">
        <v>2639900</v>
      </c>
      <c r="Y46" s="13" t="inlineStr">
        <is>
          <t>TRADED</t>
        </is>
      </c>
      <c r="Z46" s="11" t="n"/>
      <c r="AA46" s="12" t="n"/>
      <c r="AB46" s="13" t="inlineStr">
        <is>
          <t>NOT_LISTED</t>
        </is>
      </c>
    </row>
    <row r="47">
      <c r="A47" s="8" t="inlineStr">
        <is>
          <t>2026-04-15</t>
        </is>
      </c>
      <c r="B47" s="11" t="n">
        <v>172.09</v>
      </c>
      <c r="C47" s="12" t="n">
        <v>5064600</v>
      </c>
      <c r="D47" s="13" t="inlineStr">
        <is>
          <t>TRADED</t>
        </is>
      </c>
      <c r="E47" s="11" t="n">
        <v>154.33</v>
      </c>
      <c r="F47" s="12" t="n">
        <v>5835300</v>
      </c>
      <c r="G47" s="13" t="inlineStr">
        <is>
          <t>TRADED</t>
        </is>
      </c>
      <c r="H47" s="11" t="n">
        <v>146.98</v>
      </c>
      <c r="I47" s="12" t="n">
        <v>7313600</v>
      </c>
      <c r="J47" s="13" t="inlineStr">
        <is>
          <t>TRADED</t>
        </is>
      </c>
      <c r="K47" s="11" t="n">
        <v>156.83</v>
      </c>
      <c r="L47" s="12" t="n">
        <v>2291500</v>
      </c>
      <c r="M47" s="13" t="inlineStr">
        <is>
          <t>TRADED</t>
        </is>
      </c>
      <c r="N47" s="11" t="n">
        <v>395.06</v>
      </c>
      <c r="O47" s="12" t="n">
        <v>2266900</v>
      </c>
      <c r="P47" s="13" t="inlineStr">
        <is>
          <t>TRADED</t>
        </is>
      </c>
      <c r="Q47" s="11" t="n">
        <v>985.92</v>
      </c>
      <c r="R47" s="12" t="n">
        <v>2306900</v>
      </c>
      <c r="S47" s="13" t="inlineStr">
        <is>
          <t>TRADED</t>
        </is>
      </c>
      <c r="T47" s="11" t="n">
        <v>74.66</v>
      </c>
      <c r="U47" s="12" t="n">
        <v>3502100</v>
      </c>
      <c r="V47" s="13" t="inlineStr">
        <is>
          <t>TRADED</t>
        </is>
      </c>
      <c r="W47" s="11" t="n">
        <v>364.96</v>
      </c>
      <c r="X47" s="12" t="n">
        <v>2366600</v>
      </c>
      <c r="Y47" s="13" t="inlineStr">
        <is>
          <t>TRADED</t>
        </is>
      </c>
      <c r="Z47" s="11" t="n"/>
      <c r="AA47" s="12" t="n"/>
      <c r="AB47" s="13" t="inlineStr">
        <is>
          <t>NOT_LISTED</t>
        </is>
      </c>
    </row>
    <row r="48">
      <c r="A48" s="8" t="inlineStr">
        <is>
          <t>2026-04-16</t>
        </is>
      </c>
      <c r="B48" s="11" t="n">
        <v>170.81</v>
      </c>
      <c r="C48" s="12" t="n">
        <v>4529200</v>
      </c>
      <c r="D48" s="13" t="inlineStr">
        <is>
          <t>TRADED</t>
        </is>
      </c>
      <c r="E48" s="11" t="n">
        <v>161.01</v>
      </c>
      <c r="F48" s="12" t="n">
        <v>7205600</v>
      </c>
      <c r="G48" s="13" t="inlineStr">
        <is>
          <t>TRADED</t>
        </is>
      </c>
      <c r="H48" s="11" t="n">
        <v>148.96</v>
      </c>
      <c r="I48" s="12" t="n">
        <v>6460100</v>
      </c>
      <c r="J48" s="13" t="inlineStr">
        <is>
          <t>TRADED</t>
        </is>
      </c>
      <c r="K48" s="11" t="n">
        <v>155.83</v>
      </c>
      <c r="L48" s="12" t="n">
        <v>1609700</v>
      </c>
      <c r="M48" s="13" t="inlineStr">
        <is>
          <t>TRADED</t>
        </is>
      </c>
      <c r="N48" s="11" t="n">
        <v>392.73</v>
      </c>
      <c r="O48" s="12" t="n">
        <v>1815700</v>
      </c>
      <c r="P48" s="13" t="inlineStr">
        <is>
          <t>TRADED</t>
        </is>
      </c>
      <c r="Q48" s="11" t="n">
        <v>978.3200000000001</v>
      </c>
      <c r="R48" s="12" t="n">
        <v>1402700</v>
      </c>
      <c r="S48" s="13" t="inlineStr">
        <is>
          <t>TRADED</t>
        </is>
      </c>
      <c r="T48" s="11" t="n">
        <v>74.41</v>
      </c>
      <c r="U48" s="12" t="n">
        <v>2421100</v>
      </c>
      <c r="V48" s="13" t="inlineStr">
        <is>
          <t>TRADED</t>
        </is>
      </c>
      <c r="W48" s="11" t="n">
        <v>365.92</v>
      </c>
      <c r="X48" s="12" t="n">
        <v>1818600</v>
      </c>
      <c r="Y48" s="13" t="inlineStr">
        <is>
          <t>TRADED</t>
        </is>
      </c>
      <c r="Z48" s="11" t="n"/>
      <c r="AA48" s="12" t="n"/>
      <c r="AB48" s="13" t="inlineStr">
        <is>
          <t>NOT_LISTED</t>
        </is>
      </c>
    </row>
    <row r="49">
      <c r="A49" s="8" t="inlineStr">
        <is>
          <t>2026-04-17</t>
        </is>
      </c>
      <c r="B49" s="11" t="n">
        <v>174.05</v>
      </c>
      <c r="C49" s="12" t="n">
        <v>5165900</v>
      </c>
      <c r="D49" s="13" t="inlineStr">
        <is>
          <t>TRADED</t>
        </is>
      </c>
      <c r="E49" s="11" t="n">
        <v>164.23</v>
      </c>
      <c r="F49" s="12" t="n">
        <v>8216400</v>
      </c>
      <c r="G49" s="13" t="inlineStr">
        <is>
          <t>TRADED</t>
        </is>
      </c>
      <c r="H49" s="11" t="n">
        <v>151.06</v>
      </c>
      <c r="I49" s="12" t="n">
        <v>6784600</v>
      </c>
      <c r="J49" s="13" t="inlineStr">
        <is>
          <t>TRADED</t>
        </is>
      </c>
      <c r="K49" s="11" t="n">
        <v>164.66</v>
      </c>
      <c r="L49" s="12" t="n">
        <v>1782000</v>
      </c>
      <c r="M49" s="13" t="inlineStr">
        <is>
          <t>TRADED</t>
        </is>
      </c>
      <c r="N49" s="11" t="n">
        <v>406.21</v>
      </c>
      <c r="O49" s="12" t="n">
        <v>2624700</v>
      </c>
      <c r="P49" s="13" t="inlineStr">
        <is>
          <t>TRADED</t>
        </is>
      </c>
      <c r="Q49" s="11" t="n">
        <v>1002.75</v>
      </c>
      <c r="R49" s="12" t="n">
        <v>2328800</v>
      </c>
      <c r="S49" s="13" t="inlineStr">
        <is>
          <t>TRADED</t>
        </is>
      </c>
      <c r="T49" s="11" t="n">
        <v>70.98999999999999</v>
      </c>
      <c r="U49" s="12" t="n">
        <v>7158400</v>
      </c>
      <c r="V49" s="13" t="inlineStr">
        <is>
          <t>TRADED</t>
        </is>
      </c>
      <c r="W49" s="11" t="n">
        <v>380.38</v>
      </c>
      <c r="X49" s="12" t="n">
        <v>2423200</v>
      </c>
      <c r="Y49" s="13" t="inlineStr">
        <is>
          <t>TRADED</t>
        </is>
      </c>
      <c r="Z49" s="11" t="n"/>
      <c r="AA49" s="12" t="n"/>
      <c r="AB49" s="13" t="inlineStr">
        <is>
          <t>NOT_LISTED</t>
        </is>
      </c>
    </row>
    <row r="50">
      <c r="A50" s="8" t="inlineStr">
        <is>
          <t>2026-04-20</t>
        </is>
      </c>
      <c r="B50" s="11" t="n">
        <v>175.8</v>
      </c>
      <c r="C50" s="12" t="n">
        <v>4180500</v>
      </c>
      <c r="D50" s="13" t="inlineStr">
        <is>
          <t>TRADED</t>
        </is>
      </c>
      <c r="E50" s="11" t="n">
        <v>166.85</v>
      </c>
      <c r="F50" s="12" t="n">
        <v>6113300</v>
      </c>
      <c r="G50" s="13" t="inlineStr">
        <is>
          <t>TRADED</t>
        </is>
      </c>
      <c r="H50" s="11" t="n">
        <v>152.81</v>
      </c>
      <c r="I50" s="12" t="n">
        <v>6102500</v>
      </c>
      <c r="J50" s="13" t="inlineStr">
        <is>
          <t>TRADED</t>
        </is>
      </c>
      <c r="K50" s="11" t="n">
        <v>164.06</v>
      </c>
      <c r="L50" s="12" t="n">
        <v>1046500</v>
      </c>
      <c r="M50" s="13" t="inlineStr">
        <is>
          <t>TRADED</t>
        </is>
      </c>
      <c r="N50" s="11" t="n">
        <v>407.57</v>
      </c>
      <c r="O50" s="12" t="n">
        <v>2416200</v>
      </c>
      <c r="P50" s="13" t="inlineStr">
        <is>
          <t>TRADED</t>
        </is>
      </c>
      <c r="Q50" s="11" t="n">
        <v>990.1799999999999</v>
      </c>
      <c r="R50" s="12" t="n">
        <v>1804900</v>
      </c>
      <c r="S50" s="13" t="inlineStr">
        <is>
          <t>TRADED</t>
        </is>
      </c>
      <c r="T50" s="11" t="n">
        <v>69.83</v>
      </c>
      <c r="U50" s="12" t="n">
        <v>4159000</v>
      </c>
      <c r="V50" s="13" t="inlineStr">
        <is>
          <t>TRADED</t>
        </is>
      </c>
      <c r="W50" s="11" t="n">
        <v>375.21</v>
      </c>
      <c r="X50" s="12" t="n">
        <v>1819400</v>
      </c>
      <c r="Y50" s="13" t="inlineStr">
        <is>
          <t>TRADED</t>
        </is>
      </c>
      <c r="Z50" s="11" t="n"/>
      <c r="AA50" s="12" t="n"/>
      <c r="AB50" s="13" t="inlineStr">
        <is>
          <t>NOT_LISTED</t>
        </is>
      </c>
    </row>
    <row r="51">
      <c r="A51" s="8" t="inlineStr">
        <is>
          <t>2026-04-21</t>
        </is>
      </c>
      <c r="B51" s="11" t="n">
        <v>191.97</v>
      </c>
      <c r="C51" s="12" t="n">
        <v>10877800</v>
      </c>
      <c r="D51" s="13" t="inlineStr">
        <is>
          <t>TRADED</t>
        </is>
      </c>
      <c r="E51" s="11" t="n">
        <v>172.86</v>
      </c>
      <c r="F51" s="12" t="n">
        <v>8918900</v>
      </c>
      <c r="G51" s="13" t="inlineStr">
        <is>
          <t>TRADED</t>
        </is>
      </c>
      <c r="H51" s="11" t="n">
        <v>151.93</v>
      </c>
      <c r="I51" s="12" t="n">
        <v>7371700</v>
      </c>
      <c r="J51" s="13" t="inlineStr">
        <is>
          <t>TRADED</t>
        </is>
      </c>
      <c r="K51" s="11" t="n">
        <v>158.95</v>
      </c>
      <c r="L51" s="12" t="n">
        <v>1798900</v>
      </c>
      <c r="M51" s="13" t="inlineStr">
        <is>
          <t>TRADED</t>
        </is>
      </c>
      <c r="N51" s="11" t="n">
        <v>409.7</v>
      </c>
      <c r="O51" s="12" t="n">
        <v>2022300</v>
      </c>
      <c r="P51" s="13" t="inlineStr">
        <is>
          <t>TRADED</t>
        </is>
      </c>
      <c r="Q51" s="11" t="n">
        <v>991.3</v>
      </c>
      <c r="R51" s="12" t="n">
        <v>2111100</v>
      </c>
      <c r="S51" s="13" t="inlineStr">
        <is>
          <t>TRADED</t>
        </is>
      </c>
      <c r="T51" s="11" t="n">
        <v>68.55</v>
      </c>
      <c r="U51" s="12" t="n">
        <v>4180600</v>
      </c>
      <c r="V51" s="13" t="inlineStr">
        <is>
          <t>TRADED</t>
        </is>
      </c>
      <c r="W51" s="11" t="n">
        <v>379.93</v>
      </c>
      <c r="X51" s="12" t="n">
        <v>1833900</v>
      </c>
      <c r="Y51" s="13" t="inlineStr">
        <is>
          <t>TRADED</t>
        </is>
      </c>
      <c r="Z51" s="11" t="n"/>
      <c r="AA51" s="12" t="n"/>
      <c r="AB51" s="13" t="inlineStr">
        <is>
          <t>NOT_LISTED</t>
        </is>
      </c>
    </row>
    <row r="52">
      <c r="A52" s="8" t="inlineStr">
        <is>
          <t>2026-04-22</t>
        </is>
      </c>
      <c r="B52" s="11" t="n">
        <v>194.06</v>
      </c>
      <c r="C52" s="12" t="n">
        <v>6144200</v>
      </c>
      <c r="D52" s="13" t="inlineStr">
        <is>
          <t>TRADED</t>
        </is>
      </c>
      <c r="E52" s="11" t="n">
        <v>177.73</v>
      </c>
      <c r="F52" s="12" t="n">
        <v>8699400</v>
      </c>
      <c r="G52" s="13" t="inlineStr">
        <is>
          <t>TRADED</t>
        </is>
      </c>
      <c r="H52" s="11" t="n">
        <v>148.13</v>
      </c>
      <c r="I52" s="12" t="n">
        <v>9364500</v>
      </c>
      <c r="J52" s="13" t="inlineStr">
        <is>
          <t>TRADED</t>
        </is>
      </c>
      <c r="K52" s="11" t="n">
        <v>153.3</v>
      </c>
      <c r="L52" s="12" t="n">
        <v>2297000</v>
      </c>
      <c r="M52" s="13" t="inlineStr">
        <is>
          <t>TRADED</t>
        </is>
      </c>
      <c r="N52" s="11" t="n">
        <v>413.87</v>
      </c>
      <c r="O52" s="12" t="n">
        <v>2683000</v>
      </c>
      <c r="P52" s="13" t="inlineStr">
        <is>
          <t>TRADED</t>
        </is>
      </c>
      <c r="Q52" s="11" t="n">
        <v>1127.5601</v>
      </c>
      <c r="R52" s="12" t="n">
        <v>4184700</v>
      </c>
      <c r="S52" s="13" t="inlineStr">
        <is>
          <t>TRADED</t>
        </is>
      </c>
      <c r="T52" s="11" t="n">
        <v>68.61</v>
      </c>
      <c r="U52" s="12" t="n">
        <v>3093400</v>
      </c>
      <c r="V52" s="13" t="inlineStr">
        <is>
          <t>TRADED</t>
        </is>
      </c>
      <c r="W52" s="11" t="n">
        <v>385.18</v>
      </c>
      <c r="X52" s="12" t="n">
        <v>2223200</v>
      </c>
      <c r="Y52" s="13" t="inlineStr">
        <is>
          <t>TRADED</t>
        </is>
      </c>
      <c r="Z52" s="11" t="n"/>
      <c r="AA52" s="12" t="n"/>
      <c r="AB52" s="13" t="inlineStr">
        <is>
          <t>NOT_LISTED</t>
        </is>
      </c>
    </row>
    <row r="53">
      <c r="A53" s="8" t="inlineStr">
        <is>
          <t>2026-04-23</t>
        </is>
      </c>
      <c r="B53" s="11" t="n">
        <v>197.54</v>
      </c>
      <c r="C53" s="12" t="n">
        <v>5396500</v>
      </c>
      <c r="D53" s="13" t="inlineStr">
        <is>
          <t>TRADED</t>
        </is>
      </c>
      <c r="E53" s="11" t="n">
        <v>172.55</v>
      </c>
      <c r="F53" s="12" t="n">
        <v>7428000</v>
      </c>
      <c r="G53" s="13" t="inlineStr">
        <is>
          <t>TRADED</t>
        </is>
      </c>
      <c r="H53" s="11" t="n">
        <v>150.18</v>
      </c>
      <c r="I53" s="12" t="n">
        <v>6733600</v>
      </c>
      <c r="J53" s="13" t="inlineStr">
        <is>
          <t>TRADED</t>
        </is>
      </c>
      <c r="K53" s="11" t="n">
        <v>154.05</v>
      </c>
      <c r="L53" s="12" t="n">
        <v>2729300</v>
      </c>
      <c r="M53" s="13" t="inlineStr">
        <is>
          <t>TRADED</t>
        </is>
      </c>
      <c r="N53" s="11" t="n">
        <v>424.5</v>
      </c>
      <c r="O53" s="12" t="n">
        <v>2912100</v>
      </c>
      <c r="P53" s="13" t="inlineStr">
        <is>
          <t>TRADED</t>
        </is>
      </c>
      <c r="Q53" s="11" t="n">
        <v>1149.53</v>
      </c>
      <c r="R53" s="12" t="n">
        <v>3073200</v>
      </c>
      <c r="S53" s="13" t="inlineStr">
        <is>
          <t>TRADED</t>
        </is>
      </c>
      <c r="T53" s="11" t="n">
        <v>65.52</v>
      </c>
      <c r="U53" s="12" t="n">
        <v>3904600</v>
      </c>
      <c r="V53" s="13" t="inlineStr">
        <is>
          <t>TRADED</t>
        </is>
      </c>
      <c r="W53" s="11" t="n">
        <v>400.99</v>
      </c>
      <c r="X53" s="12" t="n">
        <v>2476200</v>
      </c>
      <c r="Y53" s="13" t="inlineStr">
        <is>
          <t>TRADED</t>
        </is>
      </c>
      <c r="Z53" s="11" t="n"/>
      <c r="AA53" s="12" t="n"/>
      <c r="AB53" s="13" t="inlineStr">
        <is>
          <t>NOT_LISTED</t>
        </is>
      </c>
    </row>
    <row r="54">
      <c r="A54" s="8" t="inlineStr">
        <is>
          <t>2026-04-24</t>
        </is>
      </c>
      <c r="B54" s="11" t="n">
        <v>212.84</v>
      </c>
      <c r="C54" s="12" t="n">
        <v>6661900</v>
      </c>
      <c r="D54" s="13" t="inlineStr">
        <is>
          <t>TRADED</t>
        </is>
      </c>
      <c r="E54" s="11" t="n">
        <v>176.91</v>
      </c>
      <c r="F54" s="12" t="n">
        <v>7508000</v>
      </c>
      <c r="G54" s="13" t="inlineStr">
        <is>
          <t>TRADED</t>
        </is>
      </c>
      <c r="H54" s="11" t="n">
        <v>149.71</v>
      </c>
      <c r="I54" s="12" t="n">
        <v>4662000</v>
      </c>
      <c r="J54" s="13" t="inlineStr">
        <is>
          <t>TRADED</t>
        </is>
      </c>
      <c r="K54" s="11" t="n">
        <v>154.26</v>
      </c>
      <c r="L54" s="12" t="n">
        <v>2011300</v>
      </c>
      <c r="M54" s="13" t="inlineStr">
        <is>
          <t>TRADED</t>
        </is>
      </c>
      <c r="N54" s="11" t="n">
        <v>423.92</v>
      </c>
      <c r="O54" s="12" t="n">
        <v>2490300</v>
      </c>
      <c r="P54" s="13" t="inlineStr">
        <is>
          <t>TRADED</t>
        </is>
      </c>
      <c r="Q54" s="11" t="n">
        <v>1149.1899</v>
      </c>
      <c r="R54" s="12" t="n">
        <v>3633800</v>
      </c>
      <c r="S54" s="13" t="inlineStr">
        <is>
          <t>TRADED</t>
        </is>
      </c>
      <c r="T54" s="11" t="n">
        <v>61.26</v>
      </c>
      <c r="U54" s="12" t="n">
        <v>5132900</v>
      </c>
      <c r="V54" s="13" t="inlineStr">
        <is>
          <t>TRADED</t>
        </is>
      </c>
      <c r="W54" s="11" t="n">
        <v>418.08</v>
      </c>
      <c r="X54" s="12" t="n">
        <v>3234600</v>
      </c>
      <c r="Y54" s="13" t="inlineStr">
        <is>
          <t>TRADED</t>
        </is>
      </c>
      <c r="Z54" s="11" t="n"/>
      <c r="AA54" s="12" t="n"/>
      <c r="AB54" s="13" t="inlineStr">
        <is>
          <t>NOT_LISTED</t>
        </is>
      </c>
    </row>
    <row r="55">
      <c r="A55" s="8" t="inlineStr">
        <is>
          <t>2026-04-27</t>
        </is>
      </c>
      <c r="B55" s="11" t="n">
        <v>196.64</v>
      </c>
      <c r="C55" s="12" t="n">
        <v>5422500</v>
      </c>
      <c r="D55" s="13" t="inlineStr">
        <is>
          <t>TRADED</t>
        </is>
      </c>
      <c r="E55" s="11" t="n">
        <v>172.47</v>
      </c>
      <c r="F55" s="12" t="n">
        <v>6782500</v>
      </c>
      <c r="G55" s="13" t="inlineStr">
        <is>
          <t>TRADED</t>
        </is>
      </c>
      <c r="H55" s="11" t="n">
        <v>148.64</v>
      </c>
      <c r="I55" s="12" t="n">
        <v>6348000</v>
      </c>
      <c r="J55" s="13" t="inlineStr">
        <is>
          <t>TRADED</t>
        </is>
      </c>
      <c r="K55" s="11" t="n">
        <v>153.45</v>
      </c>
      <c r="L55" s="12" t="n">
        <v>1227200</v>
      </c>
      <c r="M55" s="13" t="inlineStr">
        <is>
          <t>TRADED</t>
        </is>
      </c>
      <c r="N55" s="11" t="n">
        <v>416.77</v>
      </c>
      <c r="O55" s="12" t="n">
        <v>2463900</v>
      </c>
      <c r="P55" s="13" t="inlineStr">
        <is>
          <t>TRADED</t>
        </is>
      </c>
      <c r="Q55" s="11" t="n">
        <v>1120.23</v>
      </c>
      <c r="R55" s="12" t="n">
        <v>3845800</v>
      </c>
      <c r="S55" s="13" t="inlineStr">
        <is>
          <t>TRADED</t>
        </is>
      </c>
      <c r="T55" s="11" t="n">
        <v>63.16</v>
      </c>
      <c r="U55" s="12" t="n">
        <v>3978500</v>
      </c>
      <c r="V55" s="13" t="inlineStr">
        <is>
          <t>TRADED</t>
        </is>
      </c>
      <c r="W55" s="11" t="n">
        <v>402</v>
      </c>
      <c r="X55" s="12" t="n">
        <v>4027200</v>
      </c>
      <c r="Y55" s="13" t="inlineStr">
        <is>
          <t>TRADED</t>
        </is>
      </c>
      <c r="Z55" s="11" t="n"/>
      <c r="AA55" s="12" t="n"/>
      <c r="AB55" s="13" t="inlineStr">
        <is>
          <t>NOT_LISTED</t>
        </is>
      </c>
    </row>
    <row r="56">
      <c r="A56" s="8" t="inlineStr">
        <is>
          <t>2026-04-28</t>
        </is>
      </c>
      <c r="B56" s="11" t="n">
        <v>183.31</v>
      </c>
      <c r="C56" s="12" t="n">
        <v>4965300</v>
      </c>
      <c r="D56" s="13" t="inlineStr">
        <is>
          <t>TRADED</t>
        </is>
      </c>
      <c r="E56" s="11" t="n">
        <v>165.29</v>
      </c>
      <c r="F56" s="12" t="n">
        <v>7414100</v>
      </c>
      <c r="G56" s="13" t="inlineStr">
        <is>
          <t>TRADED</t>
        </is>
      </c>
      <c r="H56" s="11" t="n">
        <v>143.72</v>
      </c>
      <c r="I56" s="12" t="n">
        <v>9871600</v>
      </c>
      <c r="J56" s="13" t="inlineStr">
        <is>
          <t>TRADED</t>
        </is>
      </c>
      <c r="K56" s="11" t="n">
        <v>151.7</v>
      </c>
      <c r="L56" s="12" t="n">
        <v>1233700</v>
      </c>
      <c r="M56" s="13" t="inlineStr">
        <is>
          <t>TRADED</t>
        </is>
      </c>
      <c r="N56" s="11" t="n">
        <v>413.07</v>
      </c>
      <c r="O56" s="12" t="n">
        <v>2483900</v>
      </c>
      <c r="P56" s="13" t="inlineStr">
        <is>
          <t>TRADED</t>
        </is>
      </c>
      <c r="Q56" s="11" t="n">
        <v>1088.9301</v>
      </c>
      <c r="R56" s="12" t="n">
        <v>4206000</v>
      </c>
      <c r="S56" s="13" t="inlineStr">
        <is>
          <t>TRADED</t>
        </is>
      </c>
      <c r="T56" s="11" t="n">
        <v>61.66</v>
      </c>
      <c r="U56" s="12" t="n">
        <v>3274700</v>
      </c>
      <c r="V56" s="13" t="inlineStr">
        <is>
          <t>TRADED</t>
        </is>
      </c>
      <c r="W56" s="11" t="n">
        <v>380.13</v>
      </c>
      <c r="X56" s="12" t="n">
        <v>4596200</v>
      </c>
      <c r="Y56" s="13" t="inlineStr">
        <is>
          <t>TRADED</t>
        </is>
      </c>
      <c r="Z56" s="11" t="n"/>
      <c r="AA56" s="12" t="n"/>
      <c r="AB56" s="13" t="inlineStr">
        <is>
          <t>NOT_LISTED</t>
        </is>
      </c>
    </row>
    <row r="57">
      <c r="A57" s="8" t="inlineStr">
        <is>
          <t>2026-04-29</t>
        </is>
      </c>
      <c r="B57" s="11" t="n">
        <v>196.85</v>
      </c>
      <c r="C57" s="12" t="n">
        <v>4959700</v>
      </c>
      <c r="D57" s="13" t="inlineStr">
        <is>
          <t>TRADED</t>
        </is>
      </c>
      <c r="E57" s="11" t="n">
        <v>168.68</v>
      </c>
      <c r="F57" s="12" t="n">
        <v>6270500</v>
      </c>
      <c r="G57" s="13" t="inlineStr">
        <is>
          <t>TRADED</t>
        </is>
      </c>
      <c r="H57" s="11" t="n">
        <v>148.38</v>
      </c>
      <c r="I57" s="12" t="n">
        <v>14324300</v>
      </c>
      <c r="J57" s="13" t="inlineStr">
        <is>
          <t>TRADED</t>
        </is>
      </c>
      <c r="K57" s="11" t="n">
        <v>146.23</v>
      </c>
      <c r="L57" s="12" t="n">
        <v>2908700</v>
      </c>
      <c r="M57" s="13" t="inlineStr">
        <is>
          <t>TRADED</t>
        </is>
      </c>
      <c r="N57" s="11" t="n">
        <v>410.77</v>
      </c>
      <c r="O57" s="12" t="n">
        <v>1932500</v>
      </c>
      <c r="P57" s="13" t="inlineStr">
        <is>
          <t>TRADED</t>
        </is>
      </c>
      <c r="Q57" s="11" t="n">
        <v>1063.11</v>
      </c>
      <c r="R57" s="12" t="n">
        <v>3721100</v>
      </c>
      <c r="S57" s="13" t="inlineStr">
        <is>
          <t>TRADED</t>
        </is>
      </c>
      <c r="T57" s="11" t="n">
        <v>59.56</v>
      </c>
      <c r="U57" s="12" t="n">
        <v>3073900</v>
      </c>
      <c r="V57" s="13" t="inlineStr">
        <is>
          <t>TRADED</t>
        </is>
      </c>
      <c r="W57" s="11" t="n">
        <v>306.33</v>
      </c>
      <c r="X57" s="12" t="n">
        <v>13070500</v>
      </c>
      <c r="Y57" s="13" t="inlineStr">
        <is>
          <t>TRADED</t>
        </is>
      </c>
      <c r="Z57" s="11" t="n"/>
      <c r="AA57" s="12" t="n"/>
      <c r="AB57" s="13" t="inlineStr">
        <is>
          <t>NOT_LISTED</t>
        </is>
      </c>
    </row>
    <row r="58">
      <c r="A58" s="8" t="inlineStr">
        <is>
          <t>2026-04-30</t>
        </is>
      </c>
      <c r="B58" s="11" t="n">
        <v>194.74</v>
      </c>
      <c r="C58" s="12" t="n">
        <v>5152000</v>
      </c>
      <c r="D58" s="13" t="inlineStr">
        <is>
          <t>TRADED</t>
        </is>
      </c>
      <c r="E58" s="11" t="n">
        <v>172.71</v>
      </c>
      <c r="F58" s="12" t="n">
        <v>6141700</v>
      </c>
      <c r="G58" s="13" t="inlineStr">
        <is>
          <t>TRADED</t>
        </is>
      </c>
      <c r="H58" s="11" t="n">
        <v>147.27</v>
      </c>
      <c r="I58" s="12" t="n">
        <v>9314000</v>
      </c>
      <c r="J58" s="13" t="inlineStr">
        <is>
          <t>TRADED</t>
        </is>
      </c>
      <c r="K58" s="11" t="n">
        <v>155.46</v>
      </c>
      <c r="L58" s="12" t="n">
        <v>2241200</v>
      </c>
      <c r="M58" s="13" t="inlineStr">
        <is>
          <t>TRADED</t>
        </is>
      </c>
      <c r="N58" s="11" t="n">
        <v>433.01</v>
      </c>
      <c r="O58" s="12" t="n">
        <v>3251000</v>
      </c>
      <c r="P58" s="13" t="inlineStr">
        <is>
          <t>TRADED</t>
        </is>
      </c>
      <c r="Q58" s="11" t="n">
        <v>1083.46</v>
      </c>
      <c r="R58" s="12" t="n">
        <v>3533200</v>
      </c>
      <c r="S58" s="13" t="inlineStr">
        <is>
          <t>TRADED</t>
        </is>
      </c>
      <c r="T58" s="11" t="n">
        <v>63.05</v>
      </c>
      <c r="U58" s="12" t="n">
        <v>3154800</v>
      </c>
      <c r="V58" s="13" t="inlineStr">
        <is>
          <t>TRADED</t>
        </is>
      </c>
      <c r="W58" s="11" t="n">
        <v>343.47</v>
      </c>
      <c r="X58" s="12" t="n">
        <v>7836300</v>
      </c>
      <c r="Y58" s="13" t="inlineStr">
        <is>
          <t>TRADED</t>
        </is>
      </c>
      <c r="Z58" s="11" t="n"/>
      <c r="AA58" s="12" t="n"/>
      <c r="AB58" s="13" t="inlineStr">
        <is>
          <t>NOT_LISTED</t>
        </is>
      </c>
    </row>
    <row r="59">
      <c r="A59" s="8" t="inlineStr">
        <is>
          <t>2026-05-01</t>
        </is>
      </c>
      <c r="B59" s="11" t="n">
        <v>202.68</v>
      </c>
      <c r="C59" s="12" t="n">
        <v>4343600</v>
      </c>
      <c r="D59" s="13" t="inlineStr">
        <is>
          <t>TRADED</t>
        </is>
      </c>
      <c r="E59" s="11" t="n">
        <v>172.7</v>
      </c>
      <c r="F59" s="12" t="n">
        <v>7652400</v>
      </c>
      <c r="G59" s="13" t="inlineStr">
        <is>
          <t>TRADED</t>
        </is>
      </c>
      <c r="H59" s="11" t="n">
        <v>142.3</v>
      </c>
      <c r="I59" s="12" t="n">
        <v>5773900</v>
      </c>
      <c r="J59" s="13" t="inlineStr">
        <is>
          <t>TRADED</t>
        </is>
      </c>
      <c r="K59" s="11" t="n">
        <v>155.26</v>
      </c>
      <c r="L59" s="12" t="n">
        <v>1465400</v>
      </c>
      <c r="M59" s="13" t="inlineStr">
        <is>
          <t>TRADED</t>
        </is>
      </c>
      <c r="N59" s="11" t="n">
        <v>425.55</v>
      </c>
      <c r="O59" s="12" t="n">
        <v>2478400</v>
      </c>
      <c r="P59" s="13" t="inlineStr">
        <is>
          <t>TRADED</t>
        </is>
      </c>
      <c r="Q59" s="11" t="n">
        <v>1062.95</v>
      </c>
      <c r="R59" s="12" t="n">
        <v>1890400</v>
      </c>
      <c r="S59" s="13" t="inlineStr">
        <is>
          <t>TRADED</t>
        </is>
      </c>
      <c r="T59" s="11" t="n">
        <v>62.05</v>
      </c>
      <c r="U59" s="12" t="n">
        <v>2579800</v>
      </c>
      <c r="V59" s="13" t="inlineStr">
        <is>
          <t>TRADED</t>
        </is>
      </c>
      <c r="W59" s="11" t="n">
        <v>345.42</v>
      </c>
      <c r="X59" s="12" t="n">
        <v>2876800</v>
      </c>
      <c r="Y59" s="13" t="inlineStr">
        <is>
          <t>TRADED</t>
        </is>
      </c>
      <c r="Z59" s="11" t="n"/>
      <c r="AA59" s="12" t="n"/>
      <c r="AB59" s="13" t="inlineStr">
        <is>
          <t>NOT_LISTED</t>
        </is>
      </c>
    </row>
    <row r="60">
      <c r="A60" s="8" t="inlineStr">
        <is>
          <t>2026-05-04</t>
        </is>
      </c>
      <c r="B60" s="11" t="n">
        <v>201.25</v>
      </c>
      <c r="C60" s="12" t="n">
        <v>4155500</v>
      </c>
      <c r="D60" s="13" t="inlineStr">
        <is>
          <t>TRADED</t>
        </is>
      </c>
      <c r="E60" s="11" t="n">
        <v>172.62</v>
      </c>
      <c r="F60" s="12" t="n">
        <v>7167900</v>
      </c>
      <c r="G60" s="13" t="inlineStr">
        <is>
          <t>TRADED</t>
        </is>
      </c>
      <c r="H60" s="11" t="n">
        <v>141.03</v>
      </c>
      <c r="I60" s="12" t="n">
        <v>7194200</v>
      </c>
      <c r="J60" s="13" t="inlineStr">
        <is>
          <t>TRADED</t>
        </is>
      </c>
      <c r="K60" s="11" t="n">
        <v>153.89</v>
      </c>
      <c r="L60" s="12" t="n">
        <v>1353400</v>
      </c>
      <c r="M60" s="13" t="inlineStr">
        <is>
          <t>TRADED</t>
        </is>
      </c>
      <c r="N60" s="11" t="n">
        <v>422.44</v>
      </c>
      <c r="O60" s="12" t="n">
        <v>3298500</v>
      </c>
      <c r="P60" s="13" t="inlineStr">
        <is>
          <t>TRADED</t>
        </is>
      </c>
      <c r="Q60" s="11" t="n">
        <v>1073.95</v>
      </c>
      <c r="R60" s="12" t="n">
        <v>1923200</v>
      </c>
      <c r="S60" s="13" t="inlineStr">
        <is>
          <t>TRADED</t>
        </is>
      </c>
      <c r="T60" s="11" t="n">
        <v>61.93</v>
      </c>
      <c r="U60" s="12" t="n">
        <v>3116200</v>
      </c>
      <c r="V60" s="13" t="inlineStr">
        <is>
          <t>TRADED</t>
        </is>
      </c>
      <c r="W60" s="11" t="n">
        <v>337.44</v>
      </c>
      <c r="X60" s="12" t="n">
        <v>3100000</v>
      </c>
      <c r="Y60" s="13" t="inlineStr">
        <is>
          <t>TRADED</t>
        </is>
      </c>
      <c r="Z60" s="11" t="n"/>
      <c r="AA60" s="12" t="n"/>
      <c r="AB60" s="13" t="inlineStr">
        <is>
          <t>NOT_LISTED</t>
        </is>
      </c>
    </row>
    <row r="61">
      <c r="A61" s="8" t="inlineStr">
        <is>
          <t>2026-05-05</t>
        </is>
      </c>
      <c r="B61" s="11" t="n">
        <v>215.69</v>
      </c>
      <c r="C61" s="12" t="n">
        <v>8142500</v>
      </c>
      <c r="D61" s="13" t="inlineStr">
        <is>
          <t>TRADED</t>
        </is>
      </c>
      <c r="E61" s="11" t="n">
        <v>170.22</v>
      </c>
      <c r="F61" s="12" t="n">
        <v>15684800</v>
      </c>
      <c r="G61" s="13" t="inlineStr">
        <is>
          <t>TRADED</t>
        </is>
      </c>
      <c r="H61" s="11" t="n">
        <v>136.69</v>
      </c>
      <c r="I61" s="12" t="n">
        <v>11698800</v>
      </c>
      <c r="J61" s="13" t="inlineStr">
        <is>
          <t>TRADED</t>
        </is>
      </c>
      <c r="K61" s="11" t="n">
        <v>155.35</v>
      </c>
      <c r="L61" s="12" t="n">
        <v>1268600</v>
      </c>
      <c r="M61" s="13" t="inlineStr">
        <is>
          <t>TRADED</t>
        </is>
      </c>
      <c r="N61" s="11" t="n">
        <v>410.86</v>
      </c>
      <c r="O61" s="12" t="n">
        <v>6876500</v>
      </c>
      <c r="P61" s="13" t="inlineStr">
        <is>
          <t>TRADED</t>
        </is>
      </c>
      <c r="Q61" s="11" t="n">
        <v>1095.21</v>
      </c>
      <c r="R61" s="12" t="n">
        <v>2075600</v>
      </c>
      <c r="S61" s="13" t="inlineStr">
        <is>
          <t>TRADED</t>
        </is>
      </c>
      <c r="T61" s="11" t="n">
        <v>59.31</v>
      </c>
      <c r="U61" s="12" t="n">
        <v>4267900</v>
      </c>
      <c r="V61" s="13" t="inlineStr">
        <is>
          <t>TRADED</t>
        </is>
      </c>
      <c r="W61" s="11" t="n">
        <v>357.1</v>
      </c>
      <c r="X61" s="12" t="n">
        <v>3565700</v>
      </c>
      <c r="Y61" s="13" t="inlineStr">
        <is>
          <t>TRADED</t>
        </is>
      </c>
      <c r="Z61" s="11" t="n"/>
      <c r="AA61" s="12" t="n"/>
      <c r="AB61" s="13" t="inlineStr">
        <is>
          <t>NOT_LISTED</t>
        </is>
      </c>
    </row>
    <row r="62">
      <c r="A62" s="8" t="inlineStr">
        <is>
          <t>2026-05-06</t>
        </is>
      </c>
      <c r="B62" s="11" t="n">
        <v>213.91</v>
      </c>
      <c r="C62" s="12" t="n">
        <v>8553000</v>
      </c>
      <c r="D62" s="13" t="inlineStr">
        <is>
          <t>TRADED</t>
        </is>
      </c>
      <c r="E62" s="11" t="n">
        <v>147.06</v>
      </c>
      <c r="F62" s="12" t="n">
        <v>35627200</v>
      </c>
      <c r="G62" s="13" t="inlineStr">
        <is>
          <t>TRADED</t>
        </is>
      </c>
      <c r="H62" s="11" t="n">
        <v>138.47</v>
      </c>
      <c r="I62" s="12" t="n">
        <v>10534400</v>
      </c>
      <c r="J62" s="13" t="inlineStr">
        <is>
          <t>TRADED</t>
        </is>
      </c>
      <c r="K62" s="11" t="n">
        <v>165.08</v>
      </c>
      <c r="L62" s="12" t="n">
        <v>2704100</v>
      </c>
      <c r="M62" s="13" t="inlineStr">
        <is>
          <t>TRADED</t>
        </is>
      </c>
      <c r="N62" s="11" t="n">
        <v>421.39</v>
      </c>
      <c r="O62" s="12" t="n">
        <v>3289700</v>
      </c>
      <c r="P62" s="13" t="inlineStr">
        <is>
          <t>TRADED</t>
        </is>
      </c>
      <c r="Q62" s="11" t="n">
        <v>1118.96</v>
      </c>
      <c r="R62" s="12" t="n">
        <v>2282800</v>
      </c>
      <c r="S62" s="13" t="inlineStr">
        <is>
          <t>TRADED</t>
        </is>
      </c>
      <c r="T62" s="11" t="n">
        <v>61.52</v>
      </c>
      <c r="U62" s="12" t="n">
        <v>4402500</v>
      </c>
      <c r="V62" s="13" t="inlineStr">
        <is>
          <t>TRADED</t>
        </is>
      </c>
      <c r="W62" s="11" t="n">
        <v>382.48</v>
      </c>
      <c r="X62" s="12" t="n">
        <v>3836200</v>
      </c>
      <c r="Y62" s="13" t="inlineStr">
        <is>
          <t>TRADED</t>
        </is>
      </c>
      <c r="Z62" s="11" t="n"/>
      <c r="AA62" s="12" t="n"/>
      <c r="AB62" s="13" t="inlineStr">
        <is>
          <t>NOT_LISTED</t>
        </is>
      </c>
    </row>
    <row r="63">
      <c r="A63" s="8" t="inlineStr">
        <is>
          <t>2026-05-07</t>
        </is>
      </c>
      <c r="B63" s="11" t="n">
        <v>195.65</v>
      </c>
      <c r="C63" s="12" t="n">
        <v>6551400</v>
      </c>
      <c r="D63" s="13" t="inlineStr">
        <is>
          <t>TRADED</t>
        </is>
      </c>
      <c r="E63" s="11" t="n">
        <v>141.75</v>
      </c>
      <c r="F63" s="12" t="n">
        <v>18255700</v>
      </c>
      <c r="G63" s="13" t="inlineStr">
        <is>
          <t>TRADED</t>
        </is>
      </c>
      <c r="H63" s="11" t="n">
        <v>136.62</v>
      </c>
      <c r="I63" s="12" t="n">
        <v>9002700</v>
      </c>
      <c r="J63" s="13" t="inlineStr">
        <is>
          <t>TRADED</t>
        </is>
      </c>
      <c r="K63" s="11" t="n">
        <v>162.66</v>
      </c>
      <c r="L63" s="12" t="n">
        <v>3406500</v>
      </c>
      <c r="M63" s="13" t="inlineStr">
        <is>
          <t>TRADED</t>
        </is>
      </c>
      <c r="N63" s="11" t="n">
        <v>399.15</v>
      </c>
      <c r="O63" s="12" t="n">
        <v>3590000</v>
      </c>
      <c r="P63" s="13" t="inlineStr">
        <is>
          <t>TRADED</t>
        </is>
      </c>
      <c r="Q63" s="11" t="n">
        <v>1045.63</v>
      </c>
      <c r="R63" s="12" t="n">
        <v>2588300</v>
      </c>
      <c r="S63" s="13" t="inlineStr">
        <is>
          <t>TRADED</t>
        </is>
      </c>
      <c r="T63" s="11" t="n">
        <v>57</v>
      </c>
      <c r="U63" s="12" t="n">
        <v>5909400</v>
      </c>
      <c r="V63" s="13" t="inlineStr">
        <is>
          <t>TRADED</t>
        </is>
      </c>
      <c r="W63" s="11" t="n">
        <v>354.11</v>
      </c>
      <c r="X63" s="12" t="n">
        <v>5001500</v>
      </c>
      <c r="Y63" s="13" t="inlineStr">
        <is>
          <t>TRADED</t>
        </is>
      </c>
      <c r="Z63" s="11" t="n"/>
      <c r="AA63" s="12" t="n"/>
      <c r="AB63" s="13" t="inlineStr">
        <is>
          <t>NOT_LISTED</t>
        </is>
      </c>
    </row>
    <row r="64">
      <c r="A64" s="8" t="inlineStr">
        <is>
          <t>2026-05-08</t>
        </is>
      </c>
      <c r="B64" s="11" t="n">
        <v>199.79</v>
      </c>
      <c r="C64" s="12" t="n">
        <v>4610100</v>
      </c>
      <c r="D64" s="13" t="inlineStr">
        <is>
          <t>TRADED</t>
        </is>
      </c>
      <c r="E64" s="11" t="n">
        <v>141.77</v>
      </c>
      <c r="F64" s="12" t="n">
        <v>20371600</v>
      </c>
      <c r="G64" s="13" t="inlineStr">
        <is>
          <t>TRADED</t>
        </is>
      </c>
      <c r="H64" s="11" t="n">
        <v>128.03</v>
      </c>
      <c r="I64" s="12" t="n">
        <v>18191000</v>
      </c>
      <c r="J64" s="13" t="inlineStr">
        <is>
          <t>TRADED</t>
        </is>
      </c>
      <c r="K64" s="11" t="n">
        <v>158.39</v>
      </c>
      <c r="L64" s="12" t="n">
        <v>2594300</v>
      </c>
      <c r="M64" s="13" t="inlineStr">
        <is>
          <t>TRADED</t>
        </is>
      </c>
      <c r="N64" s="11" t="n">
        <v>401.51</v>
      </c>
      <c r="O64" s="12" t="n">
        <v>2386900</v>
      </c>
      <c r="P64" s="13" t="inlineStr">
        <is>
          <t>TRADED</t>
        </is>
      </c>
      <c r="Q64" s="11" t="n">
        <v>1040.15</v>
      </c>
      <c r="R64" s="12" t="n">
        <v>1828700</v>
      </c>
      <c r="S64" s="13" t="inlineStr">
        <is>
          <t>TRADED</t>
        </is>
      </c>
      <c r="T64" s="11" t="n">
        <v>57.89</v>
      </c>
      <c r="U64" s="12" t="n">
        <v>4323600</v>
      </c>
      <c r="V64" s="13" t="inlineStr">
        <is>
          <t>TRADED</t>
        </is>
      </c>
      <c r="W64" s="11" t="n">
        <v>359.77</v>
      </c>
      <c r="X64" s="12" t="n">
        <v>3486000</v>
      </c>
      <c r="Y64" s="13" t="inlineStr">
        <is>
          <t>TRADED</t>
        </is>
      </c>
      <c r="Z64" s="11" t="n"/>
      <c r="AA64" s="12" t="n"/>
      <c r="AB64" s="13" t="inlineStr">
        <is>
          <t>NOT_LISTED</t>
        </is>
      </c>
    </row>
    <row r="65">
      <c r="A65" s="8" t="inlineStr">
        <is>
          <t>2026-05-11</t>
        </is>
      </c>
      <c r="B65" s="11" t="n">
        <v>207.35</v>
      </c>
      <c r="C65" s="12" t="n">
        <v>5615400</v>
      </c>
      <c r="D65" s="13" t="inlineStr">
        <is>
          <t>TRADED</t>
        </is>
      </c>
      <c r="E65" s="11" t="n">
        <v>136.43</v>
      </c>
      <c r="F65" s="12" t="n">
        <v>18520900</v>
      </c>
      <c r="G65" s="13" t="inlineStr">
        <is>
          <t>TRADED</t>
        </is>
      </c>
      <c r="H65" s="11" t="n">
        <v>122.47</v>
      </c>
      <c r="I65" s="12" t="n">
        <v>24755900</v>
      </c>
      <c r="J65" s="13" t="inlineStr">
        <is>
          <t>TRADED</t>
        </is>
      </c>
      <c r="K65" s="11" t="n">
        <v>161.16</v>
      </c>
      <c r="L65" s="12" t="n">
        <v>1397600</v>
      </c>
      <c r="M65" s="13" t="inlineStr">
        <is>
          <t>TRADED</t>
        </is>
      </c>
      <c r="N65" s="11" t="n">
        <v>419</v>
      </c>
      <c r="O65" s="12" t="n">
        <v>3724700</v>
      </c>
      <c r="P65" s="13" t="inlineStr">
        <is>
          <t>TRADED</t>
        </is>
      </c>
      <c r="Q65" s="11" t="n">
        <v>1073.08</v>
      </c>
      <c r="R65" s="12" t="n">
        <v>2510000</v>
      </c>
      <c r="S65" s="13" t="inlineStr">
        <is>
          <t>TRADED</t>
        </is>
      </c>
      <c r="T65" s="11" t="n">
        <v>56.99</v>
      </c>
      <c r="U65" s="12" t="n">
        <v>6062800</v>
      </c>
      <c r="V65" s="13" t="inlineStr">
        <is>
          <t>TRADED</t>
        </is>
      </c>
      <c r="W65" s="11" t="n">
        <v>366.64</v>
      </c>
      <c r="X65" s="12" t="n">
        <v>4427900</v>
      </c>
      <c r="Y65" s="13" t="inlineStr">
        <is>
          <t>TRADED</t>
        </is>
      </c>
      <c r="Z65" s="11" t="n"/>
      <c r="AA65" s="12" t="n"/>
      <c r="AB65" s="13" t="inlineStr">
        <is>
          <t>NOT_LISTED</t>
        </is>
      </c>
    </row>
    <row r="66">
      <c r="A66" s="8" t="inlineStr">
        <is>
          <t>2026-05-12</t>
        </is>
      </c>
      <c r="B66" s="11" t="n">
        <v>204.42</v>
      </c>
      <c r="C66" s="12" t="n">
        <v>5053800</v>
      </c>
      <c r="D66" s="13" t="inlineStr">
        <is>
          <t>TRADED</t>
        </is>
      </c>
      <c r="E66" s="11" t="n">
        <v>142.54</v>
      </c>
      <c r="F66" s="12" t="n">
        <v>12796100</v>
      </c>
      <c r="G66" s="13" t="inlineStr">
        <is>
          <t>TRADED</t>
        </is>
      </c>
      <c r="H66" s="11" t="n">
        <v>127.87</v>
      </c>
      <c r="I66" s="12" t="n">
        <v>15959400</v>
      </c>
      <c r="J66" s="13" t="inlineStr">
        <is>
          <t>TRADED</t>
        </is>
      </c>
      <c r="K66" s="11" t="n">
        <v>161.01</v>
      </c>
      <c r="L66" s="12" t="n">
        <v>1268700</v>
      </c>
      <c r="M66" s="13" t="inlineStr">
        <is>
          <t>TRADED</t>
        </is>
      </c>
      <c r="N66" s="11" t="n">
        <v>401.53</v>
      </c>
      <c r="O66" s="12" t="n">
        <v>2953100</v>
      </c>
      <c r="P66" s="13" t="inlineStr">
        <is>
          <t>TRADED</t>
        </is>
      </c>
      <c r="Q66" s="11" t="n">
        <v>1071.98</v>
      </c>
      <c r="R66" s="12" t="n">
        <v>2102800</v>
      </c>
      <c r="S66" s="13" t="inlineStr">
        <is>
          <t>TRADED</t>
        </is>
      </c>
      <c r="T66" s="11" t="n">
        <v>57.33</v>
      </c>
      <c r="U66" s="12" t="n">
        <v>5095800</v>
      </c>
      <c r="V66" s="13" t="inlineStr">
        <is>
          <t>TRADED</t>
        </is>
      </c>
      <c r="W66" s="11" t="n">
        <v>358.45</v>
      </c>
      <c r="X66" s="12" t="n">
        <v>5646000</v>
      </c>
      <c r="Y66" s="13" t="inlineStr">
        <is>
          <t>TRADED</t>
        </is>
      </c>
      <c r="Z66" s="11" t="n"/>
      <c r="AA66" s="12" t="n"/>
      <c r="AB66" s="13" t="inlineStr">
        <is>
          <t>NOT_LISTED</t>
        </is>
      </c>
    </row>
    <row r="67">
      <c r="A67" s="8" t="inlineStr">
        <is>
          <t>2026-05-13</t>
        </is>
      </c>
      <c r="B67" s="11" t="n">
        <v>224.09</v>
      </c>
      <c r="C67" s="12" t="n">
        <v>6415600</v>
      </c>
      <c r="D67" s="13" t="inlineStr">
        <is>
          <t>TRADED</t>
        </is>
      </c>
      <c r="E67" s="11" t="n">
        <v>140.69</v>
      </c>
      <c r="F67" s="12" t="n">
        <v>14164600</v>
      </c>
      <c r="G67" s="13" t="inlineStr">
        <is>
          <t>TRADED</t>
        </is>
      </c>
      <c r="H67" s="11" t="n">
        <v>124.64</v>
      </c>
      <c r="I67" s="12" t="n">
        <v>11311100</v>
      </c>
      <c r="J67" s="13" t="inlineStr">
        <is>
          <t>TRADED</t>
        </is>
      </c>
      <c r="K67" s="11" t="n">
        <v>164.83</v>
      </c>
      <c r="L67" s="12" t="n">
        <v>1987200</v>
      </c>
      <c r="M67" s="13" t="inlineStr">
        <is>
          <t>TRADED</t>
        </is>
      </c>
      <c r="N67" s="11" t="n">
        <v>406.94</v>
      </c>
      <c r="O67" s="12" t="n">
        <v>2316800</v>
      </c>
      <c r="P67" s="13" t="inlineStr">
        <is>
          <t>TRADED</t>
        </is>
      </c>
      <c r="Q67" s="11" t="n">
        <v>1062.5699</v>
      </c>
      <c r="R67" s="12" t="n">
        <v>1588400</v>
      </c>
      <c r="S67" s="13" t="inlineStr">
        <is>
          <t>TRADED</t>
        </is>
      </c>
      <c r="T67" s="11" t="n">
        <v>52.49</v>
      </c>
      <c r="U67" s="12" t="n">
        <v>9471900</v>
      </c>
      <c r="V67" s="13" t="inlineStr">
        <is>
          <t>TRADED</t>
        </is>
      </c>
      <c r="W67" s="11" t="n">
        <v>363.38</v>
      </c>
      <c r="X67" s="12" t="n">
        <v>3628700</v>
      </c>
      <c r="Y67" s="13" t="inlineStr">
        <is>
          <t>TRADED</t>
        </is>
      </c>
      <c r="Z67" s="11" t="n"/>
      <c r="AA67" s="12" t="n"/>
      <c r="AB67" s="13" t="inlineStr">
        <is>
          <t>NOT_LISTED</t>
        </is>
      </c>
    </row>
    <row r="68">
      <c r="A68" s="8" t="inlineStr">
        <is>
          <t>2026-05-14</t>
        </is>
      </c>
      <c r="B68" s="11" t="n">
        <v>228.64</v>
      </c>
      <c r="C68" s="12" t="n">
        <v>4615000</v>
      </c>
      <c r="D68" s="13" t="inlineStr">
        <is>
          <t>TRADED</t>
        </is>
      </c>
      <c r="E68" s="11" t="n">
        <v>147.81</v>
      </c>
      <c r="F68" s="12" t="n">
        <v>15728200</v>
      </c>
      <c r="G68" s="13" t="inlineStr">
        <is>
          <t>TRADED</t>
        </is>
      </c>
      <c r="H68" s="11" t="n">
        <v>129.19</v>
      </c>
      <c r="I68" s="12" t="n">
        <v>10849000</v>
      </c>
      <c r="J68" s="13" t="inlineStr">
        <is>
          <t>TRADED</t>
        </is>
      </c>
      <c r="K68" s="11" t="n">
        <v>162.57</v>
      </c>
      <c r="L68" s="12" t="n">
        <v>1101500</v>
      </c>
      <c r="M68" s="13" t="inlineStr">
        <is>
          <t>TRADED</t>
        </is>
      </c>
      <c r="N68" s="11" t="n">
        <v>408.1</v>
      </c>
      <c r="O68" s="12" t="n">
        <v>2011900</v>
      </c>
      <c r="P68" s="13" t="inlineStr">
        <is>
          <t>TRADED</t>
        </is>
      </c>
      <c r="Q68" s="11" t="n">
        <v>1090.53</v>
      </c>
      <c r="R68" s="12" t="n">
        <v>1690600</v>
      </c>
      <c r="S68" s="13" t="inlineStr">
        <is>
          <t>TRADED</t>
        </is>
      </c>
      <c r="T68" s="11" t="n">
        <v>54.85</v>
      </c>
      <c r="U68" s="12" t="n">
        <v>5498100</v>
      </c>
      <c r="V68" s="13" t="inlineStr">
        <is>
          <t>TRADED</t>
        </is>
      </c>
      <c r="W68" s="11" t="n">
        <v>356.55</v>
      </c>
      <c r="X68" s="12" t="n">
        <v>2352500</v>
      </c>
      <c r="Y68" s="13" t="inlineStr">
        <is>
          <t>TRADED</t>
        </is>
      </c>
      <c r="Z68" s="11" t="n"/>
      <c r="AA68" s="12" t="n"/>
      <c r="AB68" s="13" t="inlineStr">
        <is>
          <t>NOT_LISTED</t>
        </is>
      </c>
    </row>
    <row r="69">
      <c r="A69" s="8" t="inlineStr">
        <is>
          <t>2026-05-15</t>
        </is>
      </c>
      <c r="B69" s="11" t="n">
        <v>232.68</v>
      </c>
      <c r="C69" s="12" t="n">
        <v>5941800</v>
      </c>
      <c r="D69" s="13" t="inlineStr">
        <is>
          <t>TRADED</t>
        </is>
      </c>
      <c r="E69" s="11" t="n">
        <v>141.97</v>
      </c>
      <c r="F69" s="12" t="n">
        <v>10833000</v>
      </c>
      <c r="G69" s="13" t="inlineStr">
        <is>
          <t>TRADED</t>
        </is>
      </c>
      <c r="H69" s="11" t="n">
        <v>125</v>
      </c>
      <c r="I69" s="12" t="n">
        <v>10352500</v>
      </c>
      <c r="J69" s="13" t="inlineStr">
        <is>
          <t>TRADED</t>
        </is>
      </c>
      <c r="K69" s="11" t="n">
        <v>154.22</v>
      </c>
      <c r="L69" s="12" t="n">
        <v>1369900</v>
      </c>
      <c r="M69" s="13" t="inlineStr">
        <is>
          <t>TRADED</t>
        </is>
      </c>
      <c r="N69" s="11" t="n">
        <v>399.44</v>
      </c>
      <c r="O69" s="12" t="n">
        <v>3253300</v>
      </c>
      <c r="P69" s="13" t="inlineStr">
        <is>
          <t>TRADED</t>
        </is>
      </c>
      <c r="Q69" s="11" t="n">
        <v>1049.23</v>
      </c>
      <c r="R69" s="12" t="n">
        <v>2445800</v>
      </c>
      <c r="S69" s="13" t="inlineStr">
        <is>
          <t>TRADED</t>
        </is>
      </c>
      <c r="T69" s="11" t="n">
        <v>52.09</v>
      </c>
      <c r="U69" s="12" t="n">
        <v>4048700</v>
      </c>
      <c r="V69" s="13" t="inlineStr">
        <is>
          <t>TRADED</t>
        </is>
      </c>
      <c r="W69" s="11" t="n">
        <v>337.88</v>
      </c>
      <c r="X69" s="12" t="n">
        <v>4251900</v>
      </c>
      <c r="Y69" s="13" t="inlineStr">
        <is>
          <t>TRADED</t>
        </is>
      </c>
      <c r="Z69" s="11" t="n"/>
      <c r="AA69" s="12" t="n"/>
      <c r="AB69" s="13" t="inlineStr">
        <is>
          <t>NOT_LISTED</t>
        </is>
      </c>
    </row>
    <row r="70">
      <c r="A70" s="8" t="inlineStr">
        <is>
          <t>2026-05-18</t>
        </is>
      </c>
      <c r="B70" s="11" t="n">
        <v>215.58</v>
      </c>
      <c r="C70" s="12" t="n">
        <v>6161300</v>
      </c>
      <c r="D70" s="13" t="inlineStr">
        <is>
          <t>TRADED</t>
        </is>
      </c>
      <c r="E70" s="11" t="n">
        <v>141.71</v>
      </c>
      <c r="F70" s="12" t="n">
        <v>8634500</v>
      </c>
      <c r="G70" s="13" t="inlineStr">
        <is>
          <t>TRADED</t>
        </is>
      </c>
      <c r="H70" s="11" t="n">
        <v>121.72</v>
      </c>
      <c r="I70" s="12" t="n">
        <v>9889300</v>
      </c>
      <c r="J70" s="13" t="inlineStr">
        <is>
          <t>TRADED</t>
        </is>
      </c>
      <c r="K70" s="11" t="n">
        <v>149.62</v>
      </c>
      <c r="L70" s="12" t="n">
        <v>1686000</v>
      </c>
      <c r="M70" s="13" t="inlineStr">
        <is>
          <t>TRADED</t>
        </is>
      </c>
      <c r="N70" s="11" t="n">
        <v>381.87</v>
      </c>
      <c r="O70" s="12" t="n">
        <v>2862900</v>
      </c>
      <c r="P70" s="13" t="inlineStr">
        <is>
          <t>TRADED</t>
        </is>
      </c>
      <c r="Q70" s="11" t="n">
        <v>1012.25</v>
      </c>
      <c r="R70" s="12" t="n">
        <v>3116500</v>
      </c>
      <c r="S70" s="13" t="inlineStr">
        <is>
          <t>TRADED</t>
        </is>
      </c>
      <c r="T70" s="11" t="n">
        <v>54.22</v>
      </c>
      <c r="U70" s="12" t="n">
        <v>3734700</v>
      </c>
      <c r="V70" s="13" t="inlineStr">
        <is>
          <t>TRADED</t>
        </is>
      </c>
      <c r="W70" s="11" t="n">
        <v>321.05</v>
      </c>
      <c r="X70" s="12" t="n">
        <v>4670100</v>
      </c>
      <c r="Y70" s="13" t="inlineStr">
        <is>
          <t>TRADED</t>
        </is>
      </c>
      <c r="Z70" s="11" t="n"/>
      <c r="AA70" s="12" t="n"/>
      <c r="AB70" s="13" t="inlineStr">
        <is>
          <t>NOT_LISTED</t>
        </is>
      </c>
    </row>
    <row r="71">
      <c r="A71" s="8" t="inlineStr">
        <is>
          <t>2026-05-19</t>
        </is>
      </c>
      <c r="B71" s="11" t="n">
        <v>244.26</v>
      </c>
      <c r="C71" s="12" t="n">
        <v>9430500</v>
      </c>
      <c r="D71" s="13" t="inlineStr">
        <is>
          <t>TRADED</t>
        </is>
      </c>
      <c r="E71" s="11" t="n">
        <v>141.58</v>
      </c>
      <c r="F71" s="12" t="n">
        <v>8800800</v>
      </c>
      <c r="G71" s="13" t="inlineStr">
        <is>
          <t>TRADED</t>
        </is>
      </c>
      <c r="H71" s="11" t="n">
        <v>119.2</v>
      </c>
      <c r="I71" s="12" t="n">
        <v>10761900</v>
      </c>
      <c r="J71" s="13" t="inlineStr">
        <is>
          <t>TRADED</t>
        </is>
      </c>
      <c r="K71" s="11" t="n">
        <v>150.44</v>
      </c>
      <c r="L71" s="12" t="n">
        <v>1749100</v>
      </c>
      <c r="M71" s="13" t="inlineStr">
        <is>
          <t>TRADED</t>
        </is>
      </c>
      <c r="N71" s="11" t="n">
        <v>371.88</v>
      </c>
      <c r="O71" s="12" t="n">
        <v>2951900</v>
      </c>
      <c r="P71" s="13" t="inlineStr">
        <is>
          <t>TRADED</t>
        </is>
      </c>
      <c r="Q71" s="11" t="n">
        <v>1011.8</v>
      </c>
      <c r="R71" s="12" t="n">
        <v>2246700</v>
      </c>
      <c r="S71" s="13" t="inlineStr">
        <is>
          <t>TRADED</t>
        </is>
      </c>
      <c r="T71" s="11" t="n">
        <v>53.47</v>
      </c>
      <c r="U71" s="12" t="n">
        <v>2749700</v>
      </c>
      <c r="V71" s="13" t="inlineStr">
        <is>
          <t>TRADED</t>
        </is>
      </c>
      <c r="W71" s="11" t="n">
        <v>321.52</v>
      </c>
      <c r="X71" s="12" t="n">
        <v>3489000</v>
      </c>
      <c r="Y71" s="13" t="inlineStr">
        <is>
          <t>TRADED</t>
        </is>
      </c>
      <c r="Z71" s="11" t="n"/>
      <c r="AA71" s="12" t="n"/>
      <c r="AB71" s="13" t="inlineStr">
        <is>
          <t>NOT_LISTED</t>
        </is>
      </c>
    </row>
    <row r="72">
      <c r="A72" s="8" t="inlineStr">
        <is>
          <t>2026-05-20</t>
        </is>
      </c>
      <c r="B72" s="11" t="n">
        <v>287.48</v>
      </c>
      <c r="C72" s="12" t="n">
        <v>10294600</v>
      </c>
      <c r="D72" s="13" t="inlineStr">
        <is>
          <t>TRADED</t>
        </is>
      </c>
      <c r="E72" s="11" t="n">
        <v>140.49</v>
      </c>
      <c r="F72" s="12" t="n">
        <v>9617000</v>
      </c>
      <c r="G72" s="13" t="inlineStr">
        <is>
          <t>TRADED</t>
        </is>
      </c>
      <c r="H72" s="11" t="n">
        <v>123.05</v>
      </c>
      <c r="I72" s="12" t="n">
        <v>9564100</v>
      </c>
      <c r="J72" s="13" t="inlineStr">
        <is>
          <t>TRADED</t>
        </is>
      </c>
      <c r="K72" s="11" t="n">
        <v>153.73</v>
      </c>
      <c r="L72" s="12" t="n">
        <v>1673700</v>
      </c>
      <c r="M72" s="13" t="inlineStr">
        <is>
          <t>TRADED</t>
        </is>
      </c>
      <c r="N72" s="11" t="n">
        <v>379.69</v>
      </c>
      <c r="O72" s="12" t="n">
        <v>2684600</v>
      </c>
      <c r="P72" s="13" t="inlineStr">
        <is>
          <t>TRADED</t>
        </is>
      </c>
      <c r="Q72" s="11" t="n">
        <v>1024.52</v>
      </c>
      <c r="R72" s="12" t="n">
        <v>2564600</v>
      </c>
      <c r="S72" s="13" t="inlineStr">
        <is>
          <t>TRADED</t>
        </is>
      </c>
      <c r="T72" s="11" t="n">
        <v>55.82</v>
      </c>
      <c r="U72" s="12" t="n">
        <v>3929400</v>
      </c>
      <c r="V72" s="13" t="inlineStr">
        <is>
          <t>TRADED</t>
        </is>
      </c>
      <c r="W72" s="11" t="n">
        <v>344.34</v>
      </c>
      <c r="X72" s="12" t="n">
        <v>3387500</v>
      </c>
      <c r="Y72" s="13" t="inlineStr">
        <is>
          <t>TRADED</t>
        </is>
      </c>
      <c r="Z72" s="11" t="n"/>
      <c r="AA72" s="12" t="n"/>
      <c r="AB72" s="13" t="inlineStr">
        <is>
          <t>NOT_LISTED</t>
        </is>
      </c>
    </row>
    <row r="73">
      <c r="A73" s="8" t="inlineStr">
        <is>
          <t>2026-05-21</t>
        </is>
      </c>
      <c r="B73" s="11" t="n">
        <v>297.84</v>
      </c>
      <c r="C73" s="12" t="n">
        <v>7004300</v>
      </c>
      <c r="D73" s="13" t="inlineStr">
        <is>
          <t>TRADED</t>
        </is>
      </c>
      <c r="E73" s="11" t="n">
        <v>148.59</v>
      </c>
      <c r="F73" s="12" t="n">
        <v>11620600</v>
      </c>
      <c r="G73" s="13" t="inlineStr">
        <is>
          <t>TRADED</t>
        </is>
      </c>
      <c r="H73" s="11" t="n">
        <v>124.86</v>
      </c>
      <c r="I73" s="12" t="n">
        <v>8587100</v>
      </c>
      <c r="J73" s="13" t="inlineStr">
        <is>
          <t>TRADED</t>
        </is>
      </c>
      <c r="K73" s="11" t="n">
        <v>160.41</v>
      </c>
      <c r="L73" s="12" t="n">
        <v>1561400</v>
      </c>
      <c r="M73" s="13" t="inlineStr">
        <is>
          <t>TRADED</t>
        </is>
      </c>
      <c r="N73" s="11" t="n">
        <v>381.51</v>
      </c>
      <c r="O73" s="12" t="n">
        <v>1933700</v>
      </c>
      <c r="P73" s="13" t="inlineStr">
        <is>
          <t>TRADED</t>
        </is>
      </c>
      <c r="Q73" s="11" t="n">
        <v>1043.8199</v>
      </c>
      <c r="R73" s="12" t="n">
        <v>1633700</v>
      </c>
      <c r="S73" s="13" t="inlineStr">
        <is>
          <t>TRADED</t>
        </is>
      </c>
      <c r="T73" s="11" t="n">
        <v>54.67</v>
      </c>
      <c r="U73" s="12" t="n">
        <v>2815000</v>
      </c>
      <c r="V73" s="13" t="inlineStr">
        <is>
          <t>TRADED</t>
        </is>
      </c>
      <c r="W73" s="11" t="n">
        <v>353.44</v>
      </c>
      <c r="X73" s="12" t="n">
        <v>3587000</v>
      </c>
      <c r="Y73" s="13" t="inlineStr">
        <is>
          <t>TRADED</t>
        </is>
      </c>
      <c r="Z73" s="11" t="n"/>
      <c r="AA73" s="12" t="n"/>
      <c r="AB73" s="13" t="inlineStr">
        <is>
          <t>NOT_LISTED</t>
        </is>
      </c>
    </row>
    <row r="74">
      <c r="A74" s="8" t="inlineStr">
        <is>
          <t>2026-05-22</t>
        </is>
      </c>
      <c r="B74" s="11" t="n">
        <v>306.88</v>
      </c>
      <c r="C74" s="12" t="n">
        <v>6527300</v>
      </c>
      <c r="D74" s="13" t="inlineStr">
        <is>
          <t>TRADED</t>
        </is>
      </c>
      <c r="E74" s="11" t="n">
        <v>154.03</v>
      </c>
      <c r="F74" s="12" t="n">
        <v>10554600</v>
      </c>
      <c r="G74" s="13" t="inlineStr">
        <is>
          <t>TRADED</t>
        </is>
      </c>
      <c r="H74" s="11" t="n">
        <v>132.06</v>
      </c>
      <c r="I74" s="12" t="n">
        <v>17730600</v>
      </c>
      <c r="J74" s="13" t="inlineStr">
        <is>
          <t>TRADED</t>
        </is>
      </c>
      <c r="K74" s="11" t="n">
        <v>162.29</v>
      </c>
      <c r="L74" s="12" t="n">
        <v>1681700</v>
      </c>
      <c r="M74" s="13" t="inlineStr">
        <is>
          <t>TRADED</t>
        </is>
      </c>
      <c r="N74" s="11" t="n">
        <v>391.35</v>
      </c>
      <c r="O74" s="12" t="n">
        <v>2353500</v>
      </c>
      <c r="P74" s="13" t="inlineStr">
        <is>
          <t>TRADED</t>
        </is>
      </c>
      <c r="Q74" s="11" t="n">
        <v>1038.74</v>
      </c>
      <c r="R74" s="12" t="n">
        <v>1472300</v>
      </c>
      <c r="S74" s="13" t="inlineStr">
        <is>
          <t>TRADED</t>
        </is>
      </c>
      <c r="T74" s="11" t="n">
        <v>56.18</v>
      </c>
      <c r="U74" s="12" t="n">
        <v>2949100</v>
      </c>
      <c r="V74" s="13" t="inlineStr">
        <is>
          <t>TRADED</t>
        </is>
      </c>
      <c r="W74" s="11" t="n">
        <v>358.44</v>
      </c>
      <c r="X74" s="12" t="n">
        <v>2708500</v>
      </c>
      <c r="Y74" s="13" t="inlineStr">
        <is>
          <t>TRADED</t>
        </is>
      </c>
      <c r="Z74" s="11" t="n"/>
      <c r="AA74" s="12" t="n"/>
      <c r="AB74" s="13" t="inlineStr">
        <is>
          <t>NOT_LISTED</t>
        </is>
      </c>
    </row>
    <row r="75">
      <c r="A75" s="8" t="inlineStr">
        <is>
          <t>2026-05-26</t>
        </is>
      </c>
      <c r="B75" s="11" t="n">
        <v>318.72</v>
      </c>
      <c r="C75" s="12" t="n">
        <v>8114900</v>
      </c>
      <c r="D75" s="13" t="inlineStr">
        <is>
          <t>TRADED</t>
        </is>
      </c>
      <c r="E75" s="11" t="n">
        <v>158.01</v>
      </c>
      <c r="F75" s="12" t="n">
        <v>11835300</v>
      </c>
      <c r="G75" s="13" t="inlineStr">
        <is>
          <t>TRADED</t>
        </is>
      </c>
      <c r="H75" s="11" t="n">
        <v>139.56</v>
      </c>
      <c r="I75" s="12" t="n">
        <v>16589900</v>
      </c>
      <c r="J75" s="13" t="inlineStr">
        <is>
          <t>TRADED</t>
        </is>
      </c>
      <c r="K75" s="11" t="n">
        <v>168.76</v>
      </c>
      <c r="L75" s="12" t="n">
        <v>1910900</v>
      </c>
      <c r="M75" s="13" t="inlineStr">
        <is>
          <t>TRADED</t>
        </is>
      </c>
      <c r="N75" s="11" t="n">
        <v>403.13</v>
      </c>
      <c r="O75" s="12" t="n">
        <v>2855200</v>
      </c>
      <c r="P75" s="13" t="inlineStr">
        <is>
          <t>TRADED</t>
        </is>
      </c>
      <c r="Q75" s="11" t="n">
        <v>1070.47</v>
      </c>
      <c r="R75" s="12" t="n">
        <v>1877300</v>
      </c>
      <c r="S75" s="13" t="inlineStr">
        <is>
          <t>TRADED</t>
        </is>
      </c>
      <c r="T75" s="11" t="n">
        <v>56.8</v>
      </c>
      <c r="U75" s="12" t="n">
        <v>4809100</v>
      </c>
      <c r="V75" s="13" t="inlineStr">
        <is>
          <t>TRADED</t>
        </is>
      </c>
      <c r="W75" s="11" t="n">
        <v>389.14</v>
      </c>
      <c r="X75" s="12" t="n">
        <v>4005700</v>
      </c>
      <c r="Y75" s="13" t="inlineStr">
        <is>
          <t>TRADED</t>
        </is>
      </c>
      <c r="Z75" s="11" t="n"/>
      <c r="AA75" s="12" t="n"/>
      <c r="AB75" s="13" t="inlineStr">
        <is>
          <t>NOT_LISTED</t>
        </is>
      </c>
    </row>
    <row r="76">
      <c r="A76" s="8" t="inlineStr">
        <is>
          <t>2026-05-27</t>
        </is>
      </c>
      <c r="B76" s="11" t="n">
        <v>325.33</v>
      </c>
      <c r="C76" s="12" t="n">
        <v>5140900</v>
      </c>
      <c r="D76" s="13" t="inlineStr">
        <is>
          <t>TRADED</t>
        </is>
      </c>
      <c r="E76" s="11" t="n">
        <v>154.31</v>
      </c>
      <c r="F76" s="12" t="n">
        <v>6982200</v>
      </c>
      <c r="G76" s="13" t="inlineStr">
        <is>
          <t>TRADED</t>
        </is>
      </c>
      <c r="H76" s="11" t="n">
        <v>140.24</v>
      </c>
      <c r="I76" s="12" t="n">
        <v>10072400</v>
      </c>
      <c r="J76" s="13" t="inlineStr">
        <is>
          <t>TRADED</t>
        </is>
      </c>
      <c r="K76" s="11" t="n">
        <v>169.84</v>
      </c>
      <c r="L76" s="12" t="n">
        <v>1550400</v>
      </c>
      <c r="M76" s="13" t="inlineStr">
        <is>
          <t>TRADED</t>
        </is>
      </c>
      <c r="N76" s="11" t="n">
        <v>406.37</v>
      </c>
      <c r="O76" s="12" t="n">
        <v>2846000</v>
      </c>
      <c r="P76" s="13" t="inlineStr">
        <is>
          <t>TRADED</t>
        </is>
      </c>
      <c r="Q76" s="11" t="n">
        <v>1031.89</v>
      </c>
      <c r="R76" s="12" t="n">
        <v>2264800</v>
      </c>
      <c r="S76" s="13" t="inlineStr">
        <is>
          <t>TRADED</t>
        </is>
      </c>
      <c r="T76" s="11" t="n">
        <v>57.3</v>
      </c>
      <c r="U76" s="12" t="n">
        <v>3232800</v>
      </c>
      <c r="V76" s="13" t="inlineStr">
        <is>
          <t>TRADED</t>
        </is>
      </c>
      <c r="W76" s="11" t="n">
        <v>375.83</v>
      </c>
      <c r="X76" s="12" t="n">
        <v>3275000</v>
      </c>
      <c r="Y76" s="13" t="inlineStr">
        <is>
          <t>TRADED</t>
        </is>
      </c>
      <c r="Z76" s="11" t="n"/>
      <c r="AA76" s="12" t="n"/>
      <c r="AB76" s="13" t="inlineStr">
        <is>
          <t>NOT_LISTED</t>
        </is>
      </c>
    </row>
    <row r="77">
      <c r="A77" s="8" t="inlineStr">
        <is>
          <t>2026-05-28</t>
        </is>
      </c>
      <c r="B77" s="11" t="n">
        <v>349.17</v>
      </c>
      <c r="C77" s="12" t="n">
        <v>5591800</v>
      </c>
      <c r="D77" s="13" t="inlineStr">
        <is>
          <t>TRADED</t>
        </is>
      </c>
      <c r="E77" s="11" t="n">
        <v>155.27</v>
      </c>
      <c r="F77" s="12" t="n">
        <v>7194300</v>
      </c>
      <c r="G77" s="13" t="inlineStr">
        <is>
          <t>TRADED</t>
        </is>
      </c>
      <c r="H77" s="11" t="n">
        <v>147.68</v>
      </c>
      <c r="I77" s="12" t="n">
        <v>13791300</v>
      </c>
      <c r="J77" s="13" t="inlineStr">
        <is>
          <t>TRADED</t>
        </is>
      </c>
      <c r="K77" s="11" t="n">
        <v>170.53</v>
      </c>
      <c r="L77" s="12" t="n">
        <v>1030100</v>
      </c>
      <c r="M77" s="13" t="inlineStr">
        <is>
          <t>TRADED</t>
        </is>
      </c>
      <c r="N77" s="11" t="n">
        <v>401.94</v>
      </c>
      <c r="O77" s="12" t="n">
        <v>2318400</v>
      </c>
      <c r="P77" s="13" t="inlineStr">
        <is>
          <t>TRADED</t>
        </is>
      </c>
      <c r="Q77" s="11" t="n">
        <v>996</v>
      </c>
      <c r="R77" s="12" t="n">
        <v>3007000</v>
      </c>
      <c r="S77" s="13" t="inlineStr">
        <is>
          <t>TRADED</t>
        </is>
      </c>
      <c r="T77" s="11" t="n">
        <v>65.19</v>
      </c>
      <c r="U77" s="12" t="n">
        <v>11464700</v>
      </c>
      <c r="V77" s="13" t="inlineStr">
        <is>
          <t>TRADED</t>
        </is>
      </c>
      <c r="W77" s="11" t="n">
        <v>382.65</v>
      </c>
      <c r="X77" s="12" t="n">
        <v>2762100</v>
      </c>
      <c r="Y77" s="13" t="inlineStr">
        <is>
          <t>TRADED</t>
        </is>
      </c>
      <c r="Z77" s="11" t="n"/>
      <c r="AA77" s="12" t="n"/>
      <c r="AB77" s="13" t="inlineStr">
        <is>
          <t>NOT_LISTED</t>
        </is>
      </c>
    </row>
    <row r="78">
      <c r="A78" s="8" t="inlineStr">
        <is>
          <t>2026-05-29</t>
        </is>
      </c>
      <c r="B78" s="11" t="n">
        <v>342.85</v>
      </c>
      <c r="C78" s="12" t="n">
        <v>5979200</v>
      </c>
      <c r="D78" s="13" t="inlineStr">
        <is>
          <t>TRADED</t>
        </is>
      </c>
      <c r="E78" s="11" t="n">
        <v>159.47</v>
      </c>
      <c r="F78" s="12" t="n">
        <v>15385900</v>
      </c>
      <c r="G78" s="13" t="inlineStr">
        <is>
          <t>TRADED</t>
        </is>
      </c>
      <c r="H78" s="11" t="n">
        <v>148.76</v>
      </c>
      <c r="I78" s="12" t="n">
        <v>13697400</v>
      </c>
      <c r="J78" s="13" t="inlineStr">
        <is>
          <t>TRADED</t>
        </is>
      </c>
      <c r="K78" s="11" t="n">
        <v>175.16</v>
      </c>
      <c r="L78" s="12" t="n">
        <v>3088800</v>
      </c>
      <c r="M78" s="13" t="inlineStr">
        <is>
          <t>TRADED</t>
        </is>
      </c>
      <c r="N78" s="11" t="n">
        <v>400.6</v>
      </c>
      <c r="O78" s="12" t="n">
        <v>3321300</v>
      </c>
      <c r="P78" s="13" t="inlineStr">
        <is>
          <t>TRADED</t>
        </is>
      </c>
      <c r="Q78" s="11" t="n">
        <v>968.3200000000001</v>
      </c>
      <c r="R78" s="12" t="n">
        <v>5276800</v>
      </c>
      <c r="S78" s="13" t="inlineStr">
        <is>
          <t>TRADED</t>
        </is>
      </c>
      <c r="T78" s="11" t="n">
        <v>64.13</v>
      </c>
      <c r="U78" s="12" t="n">
        <v>10066300</v>
      </c>
      <c r="V78" s="13" t="inlineStr">
        <is>
          <t>TRADED</t>
        </is>
      </c>
      <c r="W78" s="11" t="n">
        <v>374.31</v>
      </c>
      <c r="X78" s="12" t="n">
        <v>4129200</v>
      </c>
      <c r="Y78" s="13" t="inlineStr">
        <is>
          <t>TRADED</t>
        </is>
      </c>
      <c r="Z78" s="11" t="n"/>
      <c r="AA78" s="12" t="n"/>
      <c r="AB78" s="13" t="inlineStr">
        <is>
          <t>NOT_LISTED</t>
        </is>
      </c>
    </row>
    <row r="79">
      <c r="A79" s="8" t="inlineStr">
        <is>
          <t>2026-06-01</t>
        </is>
      </c>
      <c r="B79" s="11" t="n">
        <v>320.09</v>
      </c>
      <c r="C79" s="12" t="n">
        <v>5559100</v>
      </c>
      <c r="D79" s="13" t="inlineStr">
        <is>
          <t>TRADED</t>
        </is>
      </c>
      <c r="E79" s="11" t="n">
        <v>170.68</v>
      </c>
      <c r="F79" s="12" t="n">
        <v>9991500</v>
      </c>
      <c r="G79" s="13" t="inlineStr">
        <is>
          <t>TRADED</t>
        </is>
      </c>
      <c r="H79" s="11" t="n">
        <v>146.34</v>
      </c>
      <c r="I79" s="12" t="n">
        <v>8718000</v>
      </c>
      <c r="J79" s="13" t="inlineStr">
        <is>
          <t>TRADED</t>
        </is>
      </c>
      <c r="K79" s="11" t="n">
        <v>178.98</v>
      </c>
      <c r="L79" s="12" t="n">
        <v>1788400</v>
      </c>
      <c r="M79" s="13" t="inlineStr">
        <is>
          <t>TRADED</t>
        </is>
      </c>
      <c r="N79" s="11" t="n">
        <v>400.08</v>
      </c>
      <c r="O79" s="12" t="n">
        <v>2339300</v>
      </c>
      <c r="P79" s="13" t="inlineStr">
        <is>
          <t>TRADED</t>
        </is>
      </c>
      <c r="Q79" s="11" t="n">
        <v>950.54</v>
      </c>
      <c r="R79" s="12" t="n">
        <v>2679300</v>
      </c>
      <c r="S79" s="13" t="inlineStr">
        <is>
          <t>TRADED</t>
        </is>
      </c>
      <c r="T79" s="11" t="n">
        <v>63.49</v>
      </c>
      <c r="U79" s="12" t="n">
        <v>6337700</v>
      </c>
      <c r="V79" s="13" t="inlineStr">
        <is>
          <t>TRADED</t>
        </is>
      </c>
      <c r="W79" s="11" t="n">
        <v>369.47</v>
      </c>
      <c r="X79" s="12" t="n">
        <v>2523400</v>
      </c>
      <c r="Y79" s="13" t="inlineStr">
        <is>
          <t>TRADED</t>
        </is>
      </c>
      <c r="Z79" s="11" t="n"/>
      <c r="AA79" s="12" t="n"/>
      <c r="AB79" s="13" t="inlineStr">
        <is>
          <t>NOT_LISTED</t>
        </is>
      </c>
    </row>
    <row r="80">
      <c r="A80" s="8" t="inlineStr">
        <is>
          <t>2026-06-02</t>
        </is>
      </c>
      <c r="B80" s="11" t="n">
        <v>355.76</v>
      </c>
      <c r="C80" s="12" t="n">
        <v>5572700</v>
      </c>
      <c r="D80" s="13" t="inlineStr">
        <is>
          <t>TRADED</t>
        </is>
      </c>
      <c r="E80" s="11" t="n">
        <v>175.33</v>
      </c>
      <c r="F80" s="12" t="n">
        <v>9144300</v>
      </c>
      <c r="G80" s="13" t="inlineStr">
        <is>
          <t>TRADED</t>
        </is>
      </c>
      <c r="H80" s="11" t="n">
        <v>148.4</v>
      </c>
      <c r="I80" s="12" t="n">
        <v>11441800</v>
      </c>
      <c r="J80" s="13" t="inlineStr">
        <is>
          <t>TRADED</t>
        </is>
      </c>
      <c r="K80" s="11" t="n">
        <v>178.48</v>
      </c>
      <c r="L80" s="12" t="n">
        <v>1414400</v>
      </c>
      <c r="M80" s="13" t="inlineStr">
        <is>
          <t>TRADED</t>
        </is>
      </c>
      <c r="N80" s="11" t="n">
        <v>417.62</v>
      </c>
      <c r="O80" s="12" t="n">
        <v>2074500</v>
      </c>
      <c r="P80" s="13" t="inlineStr">
        <is>
          <t>TRADED</t>
        </is>
      </c>
      <c r="Q80" s="11" t="n">
        <v>969.67</v>
      </c>
      <c r="R80" s="12" t="n">
        <v>2248200</v>
      </c>
      <c r="S80" s="13" t="inlineStr">
        <is>
          <t>TRADED</t>
        </is>
      </c>
      <c r="T80" s="11" t="n">
        <v>63.27</v>
      </c>
      <c r="U80" s="12" t="n">
        <v>3585300</v>
      </c>
      <c r="V80" s="13" t="inlineStr">
        <is>
          <t>TRADED</t>
        </is>
      </c>
      <c r="W80" s="11" t="n">
        <v>392.62</v>
      </c>
      <c r="X80" s="12" t="n">
        <v>3413100</v>
      </c>
      <c r="Y80" s="13" t="inlineStr">
        <is>
          <t>TRADED</t>
        </is>
      </c>
      <c r="Z80" s="11" t="n"/>
      <c r="AA80" s="12" t="n"/>
      <c r="AB80" s="13" t="inlineStr">
        <is>
          <t>NOT_LISTED</t>
        </is>
      </c>
    </row>
    <row r="81">
      <c r="A81" s="8" t="inlineStr">
        <is>
          <t>2026-06-03</t>
        </is>
      </c>
      <c r="B81" s="11" t="n">
        <v>363.54</v>
      </c>
      <c r="C81" s="12" t="n">
        <v>5309500</v>
      </c>
      <c r="D81" s="13" t="inlineStr">
        <is>
          <t>TRADED</t>
        </is>
      </c>
      <c r="E81" s="11" t="n">
        <v>174.37</v>
      </c>
      <c r="F81" s="12" t="n">
        <v>8069700</v>
      </c>
      <c r="G81" s="13" t="inlineStr">
        <is>
          <t>TRADED</t>
        </is>
      </c>
      <c r="H81" s="11" t="n">
        <v>147.62</v>
      </c>
      <c r="I81" s="12" t="n">
        <v>8580200</v>
      </c>
      <c r="J81" s="13" t="inlineStr">
        <is>
          <t>TRADED</t>
        </is>
      </c>
      <c r="K81" s="11" t="n">
        <v>179.94</v>
      </c>
      <c r="L81" s="12" t="n">
        <v>1724500</v>
      </c>
      <c r="M81" s="13" t="inlineStr">
        <is>
          <t>TRADED</t>
        </is>
      </c>
      <c r="N81" s="11" t="n">
        <v>421.21</v>
      </c>
      <c r="O81" s="12" t="n">
        <v>2181800</v>
      </c>
      <c r="P81" s="13" t="inlineStr">
        <is>
          <t>TRADED</t>
        </is>
      </c>
      <c r="Q81" s="11" t="n">
        <v>959.36</v>
      </c>
      <c r="R81" s="12" t="n">
        <v>2079500</v>
      </c>
      <c r="S81" s="13" t="inlineStr">
        <is>
          <t>TRADED</t>
        </is>
      </c>
      <c r="T81" s="11" t="n">
        <v>58.43</v>
      </c>
      <c r="U81" s="12" t="n">
        <v>5122400</v>
      </c>
      <c r="V81" s="13" t="inlineStr">
        <is>
          <t>TRADED</t>
        </is>
      </c>
      <c r="W81" s="11" t="n">
        <v>409.67</v>
      </c>
      <c r="X81" s="12" t="n">
        <v>3254600</v>
      </c>
      <c r="Y81" s="13" t="inlineStr">
        <is>
          <t>TRADED</t>
        </is>
      </c>
      <c r="Z81" s="11" t="n"/>
      <c r="AA81" s="12" t="n"/>
      <c r="AB81" s="13" t="inlineStr">
        <is>
          <t>NOT_LISTED</t>
        </is>
      </c>
    </row>
    <row r="82">
      <c r="A82" s="8" t="inlineStr">
        <is>
          <t>2026-06-04</t>
        </is>
      </c>
      <c r="B82" s="11" t="n">
        <v>358.05</v>
      </c>
      <c r="C82" s="12" t="n">
        <v>3785300</v>
      </c>
      <c r="D82" s="13" t="inlineStr">
        <is>
          <t>TRADED</t>
        </is>
      </c>
      <c r="E82" s="11" t="n">
        <v>166.01</v>
      </c>
      <c r="F82" s="12" t="n">
        <v>10214000</v>
      </c>
      <c r="G82" s="13" t="inlineStr">
        <is>
          <t>TRADED</t>
        </is>
      </c>
      <c r="H82" s="11" t="n">
        <v>146.77</v>
      </c>
      <c r="I82" s="12" t="n">
        <v>5619400</v>
      </c>
      <c r="J82" s="13" t="inlineStr">
        <is>
          <t>TRADED</t>
        </is>
      </c>
      <c r="K82" s="11" t="n">
        <v>181.1</v>
      </c>
      <c r="L82" s="12" t="n">
        <v>1181100</v>
      </c>
      <c r="M82" s="13" t="inlineStr">
        <is>
          <t>TRADED</t>
        </is>
      </c>
      <c r="N82" s="11" t="n">
        <v>418.61</v>
      </c>
      <c r="O82" s="12" t="n">
        <v>1859800</v>
      </c>
      <c r="P82" s="13" t="inlineStr">
        <is>
          <t>TRADED</t>
        </is>
      </c>
      <c r="Q82" s="11" t="n">
        <v>963.33</v>
      </c>
      <c r="R82" s="12" t="n">
        <v>2180400</v>
      </c>
      <c r="S82" s="13" t="inlineStr">
        <is>
          <t>TRADED</t>
        </is>
      </c>
      <c r="T82" s="11" t="n">
        <v>63.4</v>
      </c>
      <c r="U82" s="12" t="n">
        <v>4224800</v>
      </c>
      <c r="V82" s="13" t="inlineStr">
        <is>
          <t>TRADED</t>
        </is>
      </c>
      <c r="W82" s="11" t="n">
        <v>406.86</v>
      </c>
      <c r="X82" s="12" t="n">
        <v>4214000</v>
      </c>
      <c r="Y82" s="13" t="inlineStr">
        <is>
          <t>TRADED</t>
        </is>
      </c>
      <c r="Z82" s="11" t="n"/>
      <c r="AA82" s="12" t="n"/>
      <c r="AB82" s="13" t="inlineStr">
        <is>
          <t>NOT_LISTED</t>
        </is>
      </c>
    </row>
    <row r="83">
      <c r="A83" s="8" t="inlineStr">
        <is>
          <t>2026-06-05</t>
        </is>
      </c>
      <c r="B83" s="11" t="n">
        <v>317.06</v>
      </c>
      <c r="C83" s="12" t="n">
        <v>7315000</v>
      </c>
      <c r="D83" s="13" t="inlineStr">
        <is>
          <t>TRADED</t>
        </is>
      </c>
      <c r="E83" s="11" t="n">
        <v>154.27</v>
      </c>
      <c r="F83" s="12" t="n">
        <v>9094700</v>
      </c>
      <c r="G83" s="13" t="inlineStr">
        <is>
          <t>TRADED</t>
        </is>
      </c>
      <c r="H83" s="11" t="n">
        <v>138.81</v>
      </c>
      <c r="I83" s="12" t="n">
        <v>7168100</v>
      </c>
      <c r="J83" s="13" t="inlineStr">
        <is>
          <t>TRADED</t>
        </is>
      </c>
      <c r="K83" s="11" t="n">
        <v>177.47</v>
      </c>
      <c r="L83" s="12" t="n">
        <v>1274400</v>
      </c>
      <c r="M83" s="13" t="inlineStr">
        <is>
          <t>TRADED</t>
        </is>
      </c>
      <c r="N83" s="11" t="n">
        <v>395.94</v>
      </c>
      <c r="O83" s="12" t="n">
        <v>2538000</v>
      </c>
      <c r="P83" s="13" t="inlineStr">
        <is>
          <t>TRADED</t>
        </is>
      </c>
      <c r="Q83" s="11" t="n">
        <v>933.61</v>
      </c>
      <c r="R83" s="12" t="n">
        <v>3053500</v>
      </c>
      <c r="S83" s="13" t="inlineStr">
        <is>
          <t>TRADED</t>
        </is>
      </c>
      <c r="T83" s="11" t="n">
        <v>58.52</v>
      </c>
      <c r="U83" s="12" t="n">
        <v>3512200</v>
      </c>
      <c r="V83" s="13" t="inlineStr">
        <is>
          <t>TRADED</t>
        </is>
      </c>
      <c r="W83" s="11" t="n">
        <v>357.93</v>
      </c>
      <c r="X83" s="12" t="n">
        <v>5471100</v>
      </c>
      <c r="Y83" s="13" t="inlineStr">
        <is>
          <t>TRADED</t>
        </is>
      </c>
      <c r="Z83" s="11" t="n"/>
      <c r="AA83" s="12" t="n"/>
      <c r="AB83" s="13" t="inlineStr">
        <is>
          <t>NOT_LISTED</t>
        </is>
      </c>
    </row>
    <row r="84">
      <c r="A84" s="8" t="inlineStr">
        <is>
          <t>2026-06-08</t>
        </is>
      </c>
      <c r="B84" s="11" t="n">
        <v>346.33</v>
      </c>
      <c r="C84" s="12" t="n">
        <v>5048500</v>
      </c>
      <c r="D84" s="13" t="inlineStr">
        <is>
          <t>TRADED</t>
        </is>
      </c>
      <c r="E84" s="11" t="n">
        <v>156.4</v>
      </c>
      <c r="F84" s="12" t="n">
        <v>6043100</v>
      </c>
      <c r="G84" s="13" t="inlineStr">
        <is>
          <t>TRADED</t>
        </is>
      </c>
      <c r="H84" s="11" t="n">
        <v>143.6</v>
      </c>
      <c r="I84" s="12" t="n">
        <v>7506500</v>
      </c>
      <c r="J84" s="13" t="inlineStr">
        <is>
          <t>TRADED</t>
        </is>
      </c>
      <c r="K84" s="11" t="n">
        <v>180.14</v>
      </c>
      <c r="L84" s="12" t="n">
        <v>957700</v>
      </c>
      <c r="M84" s="13" t="inlineStr">
        <is>
          <t>TRADED</t>
        </is>
      </c>
      <c r="N84" s="11" t="n">
        <v>403.14</v>
      </c>
      <c r="O84" s="12" t="n">
        <v>2100500</v>
      </c>
      <c r="P84" s="13" t="inlineStr">
        <is>
          <t>TRADED</t>
        </is>
      </c>
      <c r="Q84" s="11" t="n">
        <v>933.85</v>
      </c>
      <c r="R84" s="12" t="n">
        <v>1842200</v>
      </c>
      <c r="S84" s="13" t="inlineStr">
        <is>
          <t>TRADED</t>
        </is>
      </c>
      <c r="T84" s="11" t="n">
        <v>57.73</v>
      </c>
      <c r="U84" s="12" t="n">
        <v>3191100</v>
      </c>
      <c r="V84" s="13" t="inlineStr">
        <is>
          <t>TRADED</t>
        </is>
      </c>
      <c r="W84" s="11" t="n">
        <v>374.69</v>
      </c>
      <c r="X84" s="12" t="n">
        <v>2940900</v>
      </c>
      <c r="Y84" s="13" t="inlineStr">
        <is>
          <t>TRADED</t>
        </is>
      </c>
      <c r="Z84" s="11" t="n"/>
      <c r="AA84" s="12" t="n"/>
      <c r="AB84" s="13" t="inlineStr">
        <is>
          <t>NOT_LISTED</t>
        </is>
      </c>
    </row>
    <row r="85">
      <c r="A85" s="8" t="inlineStr">
        <is>
          <t>2026-06-09</t>
        </is>
      </c>
      <c r="B85" s="11" t="n">
        <v>341.7</v>
      </c>
      <c r="C85" s="12" t="n">
        <v>7378100</v>
      </c>
      <c r="D85" s="13" t="inlineStr">
        <is>
          <t>TRADED</t>
        </is>
      </c>
      <c r="E85" s="11" t="n">
        <v>152.16</v>
      </c>
      <c r="F85" s="12" t="n">
        <v>7334100</v>
      </c>
      <c r="G85" s="13" t="inlineStr">
        <is>
          <t>TRADED</t>
        </is>
      </c>
      <c r="H85" s="11" t="n">
        <v>154.07</v>
      </c>
      <c r="I85" s="12" t="n">
        <v>15432100</v>
      </c>
      <c r="J85" s="13" t="inlineStr">
        <is>
          <t>TRADED</t>
        </is>
      </c>
      <c r="K85" s="11" t="n">
        <v>187.13</v>
      </c>
      <c r="L85" s="12" t="n">
        <v>2210300</v>
      </c>
      <c r="M85" s="13" t="inlineStr">
        <is>
          <t>TRADED</t>
        </is>
      </c>
      <c r="N85" s="11" t="n">
        <v>401.72</v>
      </c>
      <c r="O85" s="12" t="n">
        <v>2335800</v>
      </c>
      <c r="P85" s="13" t="inlineStr">
        <is>
          <t>TRADED</t>
        </is>
      </c>
      <c r="Q85" s="11" t="n">
        <v>920.15</v>
      </c>
      <c r="R85" s="12" t="n">
        <v>3842700</v>
      </c>
      <c r="S85" s="13" t="inlineStr">
        <is>
          <t>TRADED</t>
        </is>
      </c>
      <c r="T85" s="11" t="n">
        <v>56.19</v>
      </c>
      <c r="U85" s="12" t="n">
        <v>3479200</v>
      </c>
      <c r="V85" s="13" t="inlineStr">
        <is>
          <t>TRADED</t>
        </is>
      </c>
      <c r="W85" s="11" t="n">
        <v>369.21</v>
      </c>
      <c r="X85" s="12" t="n">
        <v>4262100</v>
      </c>
      <c r="Y85" s="13" t="inlineStr">
        <is>
          <t>TRADED</t>
        </is>
      </c>
      <c r="Z85" s="11" t="n"/>
      <c r="AA85" s="12" t="n"/>
      <c r="AB85" s="13" t="inlineStr">
        <is>
          <t>NOT_LISTED</t>
        </is>
      </c>
    </row>
    <row r="86">
      <c r="A86" s="8" t="inlineStr">
        <is>
          <t>2026-06-10</t>
        </is>
      </c>
      <c r="B86" s="11" t="n">
        <v>330.86</v>
      </c>
      <c r="C86" s="12" t="n">
        <v>5895300</v>
      </c>
      <c r="D86" s="13" t="inlineStr">
        <is>
          <t>TRADED</t>
        </is>
      </c>
      <c r="E86" s="11" t="n">
        <v>151.76</v>
      </c>
      <c r="F86" s="12" t="n">
        <v>6867400</v>
      </c>
      <c r="G86" s="13" t="inlineStr">
        <is>
          <t>TRADED</t>
        </is>
      </c>
      <c r="H86" s="11" t="n">
        <v>149.22</v>
      </c>
      <c r="I86" s="12" t="n">
        <v>12069600</v>
      </c>
      <c r="J86" s="13" t="inlineStr">
        <is>
          <t>TRADED</t>
        </is>
      </c>
      <c r="K86" s="11" t="n">
        <v>183.37</v>
      </c>
      <c r="L86" s="12" t="n">
        <v>2222300</v>
      </c>
      <c r="M86" s="13" t="inlineStr">
        <is>
          <t>TRADED</t>
        </is>
      </c>
      <c r="N86" s="11" t="n">
        <v>375.46</v>
      </c>
      <c r="O86" s="12" t="n">
        <v>3555500</v>
      </c>
      <c r="P86" s="13" t="inlineStr">
        <is>
          <t>TRADED</t>
        </is>
      </c>
      <c r="Q86" s="11" t="n">
        <v>867.09</v>
      </c>
      <c r="R86" s="12" t="n">
        <v>5302800</v>
      </c>
      <c r="S86" s="13" t="inlineStr">
        <is>
          <t>TRADED</t>
        </is>
      </c>
      <c r="T86" s="11" t="n">
        <v>54.82</v>
      </c>
      <c r="U86" s="12" t="n">
        <v>2749300</v>
      </c>
      <c r="V86" s="13" t="inlineStr">
        <is>
          <t>TRADED</t>
        </is>
      </c>
      <c r="W86" s="11" t="n">
        <v>347.59</v>
      </c>
      <c r="X86" s="12" t="n">
        <v>3745800</v>
      </c>
      <c r="Y86" s="13" t="inlineStr">
        <is>
          <t>TRADED</t>
        </is>
      </c>
      <c r="Z86" s="11" t="n"/>
      <c r="AA86" s="12" t="n"/>
      <c r="AB86" s="13" t="inlineStr">
        <is>
          <t>NOT_LISTED</t>
        </is>
      </c>
    </row>
    <row r="87">
      <c r="A87" s="8" t="inlineStr">
        <is>
          <t>2026-06-11</t>
        </is>
      </c>
      <c r="B87" s="11" t="n">
        <v>367.47</v>
      </c>
      <c r="C87" s="12" t="n">
        <v>5728900</v>
      </c>
      <c r="D87" s="13" t="inlineStr">
        <is>
          <t>TRADED</t>
        </is>
      </c>
      <c r="E87" s="11" t="n">
        <v>156.4</v>
      </c>
      <c r="F87" s="12" t="n">
        <v>5326700</v>
      </c>
      <c r="G87" s="13" t="inlineStr">
        <is>
          <t>TRADED</t>
        </is>
      </c>
      <c r="H87" s="11" t="n">
        <v>152.46</v>
      </c>
      <c r="I87" s="12" t="n">
        <v>11909600</v>
      </c>
      <c r="J87" s="13" t="inlineStr">
        <is>
          <t>TRADED</t>
        </is>
      </c>
      <c r="K87" s="11" t="n">
        <v>199.5</v>
      </c>
      <c r="L87" s="12" t="n">
        <v>2594800</v>
      </c>
      <c r="M87" s="13" t="inlineStr">
        <is>
          <t>TRADED</t>
        </is>
      </c>
      <c r="N87" s="11" t="n">
        <v>393.64</v>
      </c>
      <c r="O87" s="12" t="n">
        <v>2639800</v>
      </c>
      <c r="P87" s="13" t="inlineStr">
        <is>
          <t>TRADED</t>
        </is>
      </c>
      <c r="Q87" s="11" t="n">
        <v>906.79</v>
      </c>
      <c r="R87" s="12" t="n">
        <v>4261200</v>
      </c>
      <c r="S87" s="13" t="inlineStr">
        <is>
          <t>TRADED</t>
        </is>
      </c>
      <c r="T87" s="11" t="n">
        <v>58.78</v>
      </c>
      <c r="U87" s="12" t="n">
        <v>3965800</v>
      </c>
      <c r="V87" s="13" t="inlineStr">
        <is>
          <t>TRADED</t>
        </is>
      </c>
      <c r="W87" s="11" t="n">
        <v>381.4</v>
      </c>
      <c r="X87" s="12" t="n">
        <v>5027400</v>
      </c>
      <c r="Y87" s="13" t="inlineStr">
        <is>
          <t>TRADED</t>
        </is>
      </c>
      <c r="Z87" s="11" t="n"/>
      <c r="AA87" s="12" t="n"/>
      <c r="AB87" s="13" t="inlineStr">
        <is>
          <t>NOT_LISTED</t>
        </is>
      </c>
    </row>
    <row r="88">
      <c r="A88" s="8" t="inlineStr">
        <is>
          <t>2026-06-12</t>
        </is>
      </c>
      <c r="B88" s="11" t="n">
        <v>367.15</v>
      </c>
      <c r="C88" s="12" t="n">
        <v>5372900</v>
      </c>
      <c r="D88" s="13" t="inlineStr">
        <is>
          <t>TRADED</t>
        </is>
      </c>
      <c r="E88" s="11" t="n">
        <v>163.24</v>
      </c>
      <c r="F88" s="12" t="n">
        <v>6052500</v>
      </c>
      <c r="G88" s="13" t="inlineStr">
        <is>
          <t>TRADED</t>
        </is>
      </c>
      <c r="H88" s="11" t="n">
        <v>153.8</v>
      </c>
      <c r="I88" s="12" t="n">
        <v>9393000</v>
      </c>
      <c r="J88" s="13" t="inlineStr">
        <is>
          <t>TRADED</t>
        </is>
      </c>
      <c r="K88" s="11" t="n">
        <v>198.48</v>
      </c>
      <c r="L88" s="12" t="n">
        <v>2787900</v>
      </c>
      <c r="M88" s="13" t="inlineStr">
        <is>
          <t>TRADED</t>
        </is>
      </c>
      <c r="N88" s="11" t="n">
        <v>391.39</v>
      </c>
      <c r="O88" s="12" t="n">
        <v>2175100</v>
      </c>
      <c r="P88" s="13" t="inlineStr">
        <is>
          <t>TRADED</t>
        </is>
      </c>
      <c r="Q88" s="11" t="n">
        <v>940.66</v>
      </c>
      <c r="R88" s="12" t="n">
        <v>2787700</v>
      </c>
      <c r="S88" s="13" t="inlineStr">
        <is>
          <t>TRADED</t>
        </is>
      </c>
      <c r="T88" s="11" t="n">
        <v>57.75</v>
      </c>
      <c r="U88" s="12" t="n">
        <v>4625800</v>
      </c>
      <c r="V88" s="13" t="inlineStr">
        <is>
          <t>TRADED</t>
        </is>
      </c>
      <c r="W88" s="11" t="n">
        <v>403.2</v>
      </c>
      <c r="X88" s="12" t="n">
        <v>3322900</v>
      </c>
      <c r="Y88" s="13" t="inlineStr">
        <is>
          <t>TRADED</t>
        </is>
      </c>
      <c r="Z88" s="11" t="n">
        <v>160.95</v>
      </c>
      <c r="AA88" s="12" t="n">
        <v>519234800</v>
      </c>
      <c r="AB88" s="13" t="inlineStr">
        <is>
          <t>TRADED</t>
        </is>
      </c>
    </row>
    <row r="89">
      <c r="A89" s="8" t="inlineStr">
        <is>
          <t>2026-06-15</t>
        </is>
      </c>
      <c r="B89" s="11" t="n">
        <v>389.2</v>
      </c>
      <c r="C89" s="12" t="n">
        <v>5332800</v>
      </c>
      <c r="D89" s="13" t="inlineStr">
        <is>
          <t>TRADED</t>
        </is>
      </c>
      <c r="E89" s="11" t="n">
        <v>169.09</v>
      </c>
      <c r="F89" s="12" t="n">
        <v>7240800</v>
      </c>
      <c r="G89" s="13" t="inlineStr">
        <is>
          <t>TRADED</t>
        </is>
      </c>
      <c r="H89" s="11" t="n">
        <v>158.59</v>
      </c>
      <c r="I89" s="12" t="n">
        <v>9036400</v>
      </c>
      <c r="J89" s="13" t="inlineStr">
        <is>
          <t>TRADED</t>
        </is>
      </c>
      <c r="K89" s="11" t="n">
        <v>195.81</v>
      </c>
      <c r="L89" s="12" t="n">
        <v>1963100</v>
      </c>
      <c r="M89" s="13" t="inlineStr">
        <is>
          <t>TRADED</t>
        </is>
      </c>
      <c r="N89" s="11" t="n">
        <v>407.06</v>
      </c>
      <c r="O89" s="12" t="n">
        <v>2336700</v>
      </c>
      <c r="P89" s="13" t="inlineStr">
        <is>
          <t>TRADED</t>
        </is>
      </c>
      <c r="Q89" s="11" t="n">
        <v>979.0700000000001</v>
      </c>
      <c r="R89" s="12" t="n">
        <v>3428200</v>
      </c>
      <c r="S89" s="13" t="inlineStr">
        <is>
          <t>TRADED</t>
        </is>
      </c>
      <c r="T89" s="11" t="n">
        <v>57.02</v>
      </c>
      <c r="U89" s="12" t="n">
        <v>4014700</v>
      </c>
      <c r="V89" s="13" t="inlineStr">
        <is>
          <t>TRADED</t>
        </is>
      </c>
      <c r="W89" s="11" t="n">
        <v>432.41</v>
      </c>
      <c r="X89" s="12" t="n">
        <v>4558000</v>
      </c>
      <c r="Y89" s="13" t="inlineStr">
        <is>
          <t>TRADED</t>
        </is>
      </c>
      <c r="Z89" s="11" t="n">
        <v>192.5</v>
      </c>
      <c r="AA89" s="12" t="n">
        <v>256226600</v>
      </c>
      <c r="AB89" s="13" t="inlineStr">
        <is>
          <t>TRADED</t>
        </is>
      </c>
    </row>
    <row r="90">
      <c r="A90" s="8" t="inlineStr">
        <is>
          <t>2026-06-16</t>
        </is>
      </c>
      <c r="B90" s="11" t="n">
        <v>361.71</v>
      </c>
      <c r="C90" s="12" t="n">
        <v>5938600</v>
      </c>
      <c r="D90" s="13" t="inlineStr">
        <is>
          <t>TRADED</t>
        </is>
      </c>
      <c r="E90" s="11" t="n">
        <v>168.01</v>
      </c>
      <c r="F90" s="12" t="n">
        <v>8090900</v>
      </c>
      <c r="G90" s="13" t="inlineStr">
        <is>
          <t>TRADED</t>
        </is>
      </c>
      <c r="H90" s="11" t="n">
        <v>158.81</v>
      </c>
      <c r="I90" s="12" t="n">
        <v>8223000</v>
      </c>
      <c r="J90" s="13" t="inlineStr">
        <is>
          <t>TRADED</t>
        </is>
      </c>
      <c r="K90" s="11" t="n">
        <v>196.31</v>
      </c>
      <c r="L90" s="12" t="n">
        <v>1551700</v>
      </c>
      <c r="M90" s="13" t="inlineStr">
        <is>
          <t>TRADED</t>
        </is>
      </c>
      <c r="N90" s="11" t="n">
        <v>407.71</v>
      </c>
      <c r="O90" s="12" t="n">
        <v>1788700</v>
      </c>
      <c r="P90" s="13" t="inlineStr">
        <is>
          <t>TRADED</t>
        </is>
      </c>
      <c r="Q90" s="11" t="n">
        <v>982.35</v>
      </c>
      <c r="R90" s="12" t="n">
        <v>2761100</v>
      </c>
      <c r="S90" s="13" t="inlineStr">
        <is>
          <t>TRADED</t>
        </is>
      </c>
      <c r="T90" s="11" t="n">
        <v>56.34</v>
      </c>
      <c r="U90" s="12" t="n">
        <v>3132700</v>
      </c>
      <c r="V90" s="13" t="inlineStr">
        <is>
          <t>TRADED</t>
        </is>
      </c>
      <c r="W90" s="11" t="n">
        <v>409.35</v>
      </c>
      <c r="X90" s="12" t="n">
        <v>3977800</v>
      </c>
      <c r="Y90" s="13" t="inlineStr">
        <is>
          <t>TRADED</t>
        </is>
      </c>
      <c r="Z90" s="11" t="n">
        <v>211.39</v>
      </c>
      <c r="AA90" s="12" t="n">
        <v>195401600</v>
      </c>
      <c r="AB90" s="13" t="inlineStr">
        <is>
          <t>TRADED</t>
        </is>
      </c>
    </row>
    <row r="91">
      <c r="A91" s="8" t="inlineStr">
        <is>
          <t>2026-06-17</t>
        </is>
      </c>
      <c r="B91" s="11" t="n">
        <v>374.68</v>
      </c>
      <c r="C91" s="12" t="n">
        <v>5122000</v>
      </c>
      <c r="D91" s="13" t="inlineStr">
        <is>
          <t>TRADED</t>
        </is>
      </c>
      <c r="E91" s="11" t="n">
        <v>164.93</v>
      </c>
      <c r="F91" s="12" t="n">
        <v>6229500</v>
      </c>
      <c r="G91" s="13" t="inlineStr">
        <is>
          <t>TRADED</t>
        </is>
      </c>
      <c r="H91" s="11" t="n">
        <v>161.11</v>
      </c>
      <c r="I91" s="12" t="n">
        <v>8712900</v>
      </c>
      <c r="J91" s="13" t="inlineStr">
        <is>
          <t>TRADED</t>
        </is>
      </c>
      <c r="K91" s="11" t="n">
        <v>196.86</v>
      </c>
      <c r="L91" s="12" t="n">
        <v>1504100</v>
      </c>
      <c r="M91" s="13" t="inlineStr">
        <is>
          <t>TRADED</t>
        </is>
      </c>
      <c r="N91" s="11" t="n">
        <v>409.64</v>
      </c>
      <c r="O91" s="12" t="n">
        <v>2242500</v>
      </c>
      <c r="P91" s="13" t="inlineStr">
        <is>
          <t>TRADED</t>
        </is>
      </c>
      <c r="Q91" s="11" t="n">
        <v>1048.86</v>
      </c>
      <c r="R91" s="12" t="n">
        <v>3996000</v>
      </c>
      <c r="S91" s="13" t="inlineStr">
        <is>
          <t>TRADED</t>
        </is>
      </c>
      <c r="T91" s="11" t="n">
        <v>56.16</v>
      </c>
      <c r="U91" s="12" t="n">
        <v>3124900</v>
      </c>
      <c r="V91" s="13" t="inlineStr">
        <is>
          <t>TRADED</t>
        </is>
      </c>
      <c r="W91" s="11" t="n">
        <v>408.56</v>
      </c>
      <c r="X91" s="12" t="n">
        <v>3527600</v>
      </c>
      <c r="Y91" s="13" t="inlineStr">
        <is>
          <t>TRADED</t>
        </is>
      </c>
      <c r="Z91" s="11" t="n">
        <v>191.82</v>
      </c>
      <c r="AA91" s="12" t="n">
        <v>201719500</v>
      </c>
      <c r="AB91" s="13" t="inlineStr">
        <is>
          <t>TRADED</t>
        </is>
      </c>
    </row>
    <row r="92">
      <c r="A92" s="8" t="inlineStr">
        <is>
          <t>2026-06-18</t>
        </is>
      </c>
      <c r="B92" s="11" t="n">
        <v>417.07</v>
      </c>
      <c r="C92" s="12" t="n">
        <v>22605900</v>
      </c>
      <c r="D92" s="13" t="inlineStr">
        <is>
          <t>TRADED</t>
        </is>
      </c>
      <c r="E92" s="11" t="n">
        <v>169.67</v>
      </c>
      <c r="F92" s="12" t="n">
        <v>11130400</v>
      </c>
      <c r="G92" s="13" t="inlineStr">
        <is>
          <t>TRADED</t>
        </is>
      </c>
      <c r="H92" s="11" t="n">
        <v>163.96</v>
      </c>
      <c r="I92" s="12" t="n">
        <v>12819400</v>
      </c>
      <c r="J92" s="13" t="inlineStr">
        <is>
          <t>TRADED</t>
        </is>
      </c>
      <c r="K92" s="11" t="n">
        <v>201.34</v>
      </c>
      <c r="L92" s="12" t="n">
        <v>3100700</v>
      </c>
      <c r="M92" s="13" t="inlineStr">
        <is>
          <t>TRADED</t>
        </is>
      </c>
      <c r="N92" s="11" t="n">
        <v>421.77</v>
      </c>
      <c r="O92" s="12" t="n">
        <v>3715600</v>
      </c>
      <c r="P92" s="13" t="inlineStr">
        <is>
          <t>TRADED</t>
        </is>
      </c>
      <c r="Q92" s="11" t="n">
        <v>1109.73</v>
      </c>
      <c r="R92" s="12" t="n">
        <v>4344700</v>
      </c>
      <c r="S92" s="13" t="inlineStr">
        <is>
          <t>TRADED</t>
        </is>
      </c>
      <c r="T92" s="11" t="n">
        <v>54.21</v>
      </c>
      <c r="U92" s="12" t="n">
        <v>6964900</v>
      </c>
      <c r="V92" s="13" t="inlineStr">
        <is>
          <t>TRADED</t>
        </is>
      </c>
      <c r="W92" s="11" t="n">
        <v>437.92</v>
      </c>
      <c r="X92" s="12" t="n">
        <v>17958200</v>
      </c>
      <c r="Y92" s="13" t="inlineStr">
        <is>
          <t>TRADED</t>
        </is>
      </c>
      <c r="Z92" s="11" t="n">
        <v>185</v>
      </c>
      <c r="AA92" s="12" t="n">
        <v>272126800</v>
      </c>
      <c r="AB92" s="13" t="inlineStr">
        <is>
          <t>TRADED</t>
        </is>
      </c>
    </row>
    <row r="93">
      <c r="A93" s="8" t="inlineStr">
        <is>
          <t>2026-06-22</t>
        </is>
      </c>
      <c r="B93" s="11" t="n">
        <v>439.66</v>
      </c>
      <c r="C93" s="12" t="n">
        <v>5584000</v>
      </c>
      <c r="D93" s="13" t="inlineStr">
        <is>
          <t>TRADED</t>
        </is>
      </c>
      <c r="E93" s="11" t="n">
        <v>174.56</v>
      </c>
      <c r="F93" s="12" t="n">
        <v>9494400</v>
      </c>
      <c r="G93" s="13" t="inlineStr">
        <is>
          <t>TRADED</t>
        </is>
      </c>
      <c r="H93" s="11" t="n">
        <v>165.96</v>
      </c>
      <c r="I93" s="12" t="n">
        <v>8584800</v>
      </c>
      <c r="J93" s="13" t="inlineStr">
        <is>
          <t>TRADED</t>
        </is>
      </c>
      <c r="K93" s="11" t="n">
        <v>204.09</v>
      </c>
      <c r="L93" s="12" t="n">
        <v>1584200</v>
      </c>
      <c r="M93" s="13" t="inlineStr">
        <is>
          <t>TRADED</t>
        </is>
      </c>
      <c r="N93" s="11" t="n">
        <v>435.78</v>
      </c>
      <c r="O93" s="12" t="n">
        <v>2571500</v>
      </c>
      <c r="P93" s="13" t="inlineStr">
        <is>
          <t>TRADED</t>
        </is>
      </c>
      <c r="Q93" s="11" t="n">
        <v>1127.59</v>
      </c>
      <c r="R93" s="12" t="n">
        <v>3916300</v>
      </c>
      <c r="S93" s="13" t="inlineStr">
        <is>
          <t>TRADED</t>
        </is>
      </c>
      <c r="T93" s="11" t="n">
        <v>51.09</v>
      </c>
      <c r="U93" s="12" t="n">
        <v>4661800</v>
      </c>
      <c r="V93" s="13" t="inlineStr">
        <is>
          <t>TRADED</t>
        </is>
      </c>
      <c r="W93" s="11" t="n">
        <v>457</v>
      </c>
      <c r="X93" s="12" t="n">
        <v>4338500</v>
      </c>
      <c r="Y93" s="13" t="inlineStr">
        <is>
          <t>TRADED</t>
        </is>
      </c>
      <c r="Z93" s="11" t="n">
        <v>154.6</v>
      </c>
      <c r="AA93" s="12" t="n">
        <v>169183800</v>
      </c>
      <c r="AB93" s="13" t="inlineStr">
        <is>
          <t>TRADED</t>
        </is>
      </c>
    </row>
    <row r="94">
      <c r="A94" s="8" t="inlineStr">
        <is>
          <t>2026-06-23</t>
        </is>
      </c>
      <c r="B94" s="11" t="n">
        <v>397.02</v>
      </c>
      <c r="C94" s="12" t="n">
        <v>6478300</v>
      </c>
      <c r="D94" s="13" t="inlineStr">
        <is>
          <t>TRADED</t>
        </is>
      </c>
      <c r="E94" s="11" t="n">
        <v>162.2</v>
      </c>
      <c r="F94" s="12" t="n">
        <v>7770100</v>
      </c>
      <c r="G94" s="13" t="inlineStr">
        <is>
          <t>TRADED</t>
        </is>
      </c>
      <c r="H94" s="11" t="n">
        <v>158.7</v>
      </c>
      <c r="I94" s="12" t="n">
        <v>10010600</v>
      </c>
      <c r="J94" s="13" t="inlineStr">
        <is>
          <t>TRADED</t>
        </is>
      </c>
      <c r="K94" s="11" t="n">
        <v>199.6</v>
      </c>
      <c r="L94" s="12" t="n">
        <v>1646500</v>
      </c>
      <c r="M94" s="13" t="inlineStr">
        <is>
          <t>TRADED</t>
        </is>
      </c>
      <c r="N94" s="11" t="n">
        <v>405.28</v>
      </c>
      <c r="O94" s="12" t="n">
        <v>2459000</v>
      </c>
      <c r="P94" s="13" t="inlineStr">
        <is>
          <t>TRADED</t>
        </is>
      </c>
      <c r="Q94" s="11" t="n">
        <v>1034.98</v>
      </c>
      <c r="R94" s="12" t="n">
        <v>3919200</v>
      </c>
      <c r="S94" s="13" t="inlineStr">
        <is>
          <t>TRADED</t>
        </is>
      </c>
      <c r="T94" s="11" t="n">
        <v>50.8</v>
      </c>
      <c r="U94" s="12" t="n">
        <v>3683300</v>
      </c>
      <c r="V94" s="13" t="inlineStr">
        <is>
          <t>TRADED</t>
        </is>
      </c>
      <c r="W94" s="11" t="n">
        <v>420.12</v>
      </c>
      <c r="X94" s="12" t="n">
        <v>7671700</v>
      </c>
      <c r="Y94" s="13" t="inlineStr">
        <is>
          <t>TRADED</t>
        </is>
      </c>
      <c r="Z94" s="11" t="n">
        <v>156.11</v>
      </c>
      <c r="AA94" s="12" t="n">
        <v>155848100</v>
      </c>
      <c r="AB94" s="13" t="inlineStr">
        <is>
          <t>TRADED</t>
        </is>
      </c>
    </row>
  </sheetData>
  <mergeCells count="9">
    <mergeCell ref="B3:D3"/>
    <mergeCell ref="W3:Y3"/>
    <mergeCell ref="T3:V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20" customWidth="1" min="4" max="4"/>
    <col width="20" customWidth="1" min="5" max="5"/>
    <col width="16" customWidth="1" min="6" max="6"/>
    <col width="22" customWidth="1" min="7" max="7"/>
    <col width="30" customWidth="1" min="8" max="8"/>
  </cols>
  <sheetData>
    <row r="1">
      <c r="A1" s="1" t="inlineStr">
        <is>
          <t>ADTV90 — 엑셀 수식으로 산출</t>
        </is>
      </c>
    </row>
    <row r="2">
      <c r="A2" s="2" t="inlineStr">
        <is>
          <t>룰북 §8.1 · 제59조(미국은 원종가×원거래량 재구성) · 정지·무거래는 0 반영, 분모 90</t>
        </is>
      </c>
    </row>
    <row r="4">
      <c r="A4" s="5" t="inlineStr">
        <is>
          <t>■ 수식</t>
        </is>
      </c>
    </row>
    <row r="5">
      <c r="A5" s="6" t="inlineStr">
        <is>
          <t xml:space="preserve">  유효관측일수  = COUNTIF(상태열, "TRADED")</t>
        </is>
      </c>
    </row>
    <row r="6">
      <c r="A6" s="6" t="inlineStr">
        <is>
          <t xml:space="preserve">  거래대금 합계 = SUMPRODUCT(종가열, 거래량열)     ← 제59조 재구성. 빈 칸은 0으로 처리됨</t>
        </is>
      </c>
    </row>
    <row r="7">
      <c r="A7" s="6" t="inlineStr">
        <is>
          <t xml:space="preserve">  ADTV90        = 합계 ÷ 90                        ← 분모는 관측창 길이 90 (결측 없음)</t>
        </is>
      </c>
    </row>
    <row r="8">
      <c r="A8" s="6" t="inlineStr">
        <is>
          <t xml:space="preserve">  시즈닝        = IF(유효관측일수 &gt;= 90, "SEASONED", "INCOMPLETE")</t>
        </is>
      </c>
    </row>
    <row r="10">
      <c r="A10" s="7" t="inlineStr"/>
      <c r="B10" s="7" t="inlineStr">
        <is>
          <t>종목</t>
        </is>
      </c>
      <c r="C10" s="7" t="inlineStr">
        <is>
          <t>유효관측일수</t>
        </is>
      </c>
      <c r="D10" s="7" t="inlineStr">
        <is>
          <t>거래대금 합계</t>
        </is>
      </c>
      <c r="E10" s="7" t="inlineStr">
        <is>
          <t>ADTV90</t>
        </is>
      </c>
      <c r="F10" s="7" t="inlineStr">
        <is>
          <t>시즈닝</t>
        </is>
      </c>
      <c r="G10" s="7" t="inlineStr">
        <is>
          <t>분포 포함값</t>
        </is>
      </c>
      <c r="H10" s="7" t="inlineStr">
        <is>
          <t>메모</t>
        </is>
      </c>
    </row>
    <row r="11">
      <c r="A11" s="13" t="n">
        <v>1</v>
      </c>
      <c r="B11" s="13" t="inlineStr">
        <is>
          <t>ALAB</t>
        </is>
      </c>
      <c r="C11" s="14">
        <f>COUNTIF('10 원자료 US거래'!D5:D94,"TRADED")</f>
        <v/>
      </c>
      <c r="D11" s="15">
        <f>SUMPRODUCT('10 원자료 US거래'!B5:B94,'10 원자료 US거래'!C5:C94)</f>
        <v/>
      </c>
      <c r="E11" s="15">
        <f>D11/90</f>
        <v/>
      </c>
      <c r="F11" s="16">
        <f>IF(C11&gt;=90,"SEASONED","INCOMPLETE")</f>
        <v/>
      </c>
      <c r="G11" s="15">
        <f>IF(F11="SEASONED",E11,"")</f>
        <v/>
      </c>
      <c r="H11" s="8" t="n"/>
    </row>
    <row r="12">
      <c r="A12" s="13" t="n">
        <v>2</v>
      </c>
      <c r="B12" s="13" t="inlineStr">
        <is>
          <t>ANET</t>
        </is>
      </c>
      <c r="C12" s="14">
        <f>COUNTIF('10 원자료 US거래'!G5:G94,"TRADED")</f>
        <v/>
      </c>
      <c r="D12" s="15">
        <f>SUMPRODUCT('10 원자료 US거래'!E5:E94,'10 원자료 US거래'!F5:F94)</f>
        <v/>
      </c>
      <c r="E12" s="15">
        <f>D12/90</f>
        <v/>
      </c>
      <c r="F12" s="16">
        <f>IF(C12&gt;=90,"SEASONED","INCOMPLETE")</f>
        <v/>
      </c>
      <c r="G12" s="15">
        <f>IF(F12="SEASONED",E12,"")</f>
        <v/>
      </c>
      <c r="H12" s="8" t="n"/>
    </row>
    <row r="13">
      <c r="A13" s="13" t="n">
        <v>3</v>
      </c>
      <c r="B13" s="13" t="inlineStr">
        <is>
          <t>APH</t>
        </is>
      </c>
      <c r="C13" s="14">
        <f>COUNTIF('10 원자료 US거래'!J5:J94,"TRADED")</f>
        <v/>
      </c>
      <c r="D13" s="15">
        <f>SUMPRODUCT('10 원자료 US거래'!H5:H94,'10 원자료 US거래'!I5:I94)</f>
        <v/>
      </c>
      <c r="E13" s="15">
        <f>D13/90</f>
        <v/>
      </c>
      <c r="F13" s="16">
        <f>IF(C13&gt;=90,"SEASONED","INCOMPLETE")</f>
        <v/>
      </c>
      <c r="G13" s="15">
        <f>IF(F13="SEASONED",E13,"")</f>
        <v/>
      </c>
      <c r="H13" s="8" t="n"/>
    </row>
    <row r="14">
      <c r="A14" s="13" t="n">
        <v>4</v>
      </c>
      <c r="B14" s="13" t="inlineStr">
        <is>
          <t>ATI</t>
        </is>
      </c>
      <c r="C14" s="14">
        <f>COUNTIF('10 원자료 US거래'!M5:M94,"TRADED")</f>
        <v/>
      </c>
      <c r="D14" s="15">
        <f>SUMPRODUCT('10 원자료 US거래'!K5:K94,'10 원자료 US거래'!L5:L94)</f>
        <v/>
      </c>
      <c r="E14" s="15">
        <f>D14/90</f>
        <v/>
      </c>
      <c r="F14" s="16">
        <f>IF(C14&gt;=90,"SEASONED","INCOMPLETE")</f>
        <v/>
      </c>
      <c r="G14" s="15">
        <f>IF(F14="SEASONED",E14,"")</f>
        <v/>
      </c>
      <c r="H14" s="8" t="n"/>
    </row>
    <row r="15">
      <c r="A15" s="13" t="n">
        <v>5</v>
      </c>
      <c r="B15" s="13" t="inlineStr">
        <is>
          <t>ETN</t>
        </is>
      </c>
      <c r="C15" s="14">
        <f>COUNTIF('10 원자료 US거래'!P5:P94,"TRADED")</f>
        <v/>
      </c>
      <c r="D15" s="15">
        <f>SUMPRODUCT('10 원자료 US거래'!N5:N94,'10 원자료 US거래'!O5:O94)</f>
        <v/>
      </c>
      <c r="E15" s="15">
        <f>D15/90</f>
        <v/>
      </c>
      <c r="F15" s="16">
        <f>IF(C15&gt;=90,"SEASONED","INCOMPLETE")</f>
        <v/>
      </c>
      <c r="G15" s="15">
        <f>IF(F15="SEASONED",E15,"")</f>
        <v/>
      </c>
      <c r="H15" s="8" t="n"/>
    </row>
    <row r="16">
      <c r="A16" s="13" t="n">
        <v>6</v>
      </c>
      <c r="B16" s="13" t="inlineStr">
        <is>
          <t>GEV</t>
        </is>
      </c>
      <c r="C16" s="14">
        <f>COUNTIF('10 원자료 US거래'!S5:S94,"TRADED")</f>
        <v/>
      </c>
      <c r="D16" s="15">
        <f>SUMPRODUCT('10 원자료 US거래'!Q5:Q94,'10 원자료 US거래'!R5:R94)</f>
        <v/>
      </c>
      <c r="E16" s="15">
        <f>D16/90</f>
        <v/>
      </c>
      <c r="F16" s="16">
        <f>IF(C16&gt;=90,"SEASONED","INCOMPLETE")</f>
        <v/>
      </c>
      <c r="G16" s="15">
        <f>IF(F16="SEASONED",E16,"")</f>
        <v/>
      </c>
      <c r="H16" s="8" t="n"/>
    </row>
    <row r="17">
      <c r="A17" s="13" t="n">
        <v>7</v>
      </c>
      <c r="B17" s="13" t="inlineStr">
        <is>
          <t>KTOS</t>
        </is>
      </c>
      <c r="C17" s="14">
        <f>COUNTIF('10 원자료 US거래'!V5:V94,"TRADED")</f>
        <v/>
      </c>
      <c r="D17" s="15">
        <f>SUMPRODUCT('10 원자료 US거래'!T5:T94,'10 원자료 US거래'!U5:U94)</f>
        <v/>
      </c>
      <c r="E17" s="15">
        <f>D17/90</f>
        <v/>
      </c>
      <c r="F17" s="16">
        <f>IF(C17&gt;=90,"SEASONED","INCOMPLETE")</f>
        <v/>
      </c>
      <c r="G17" s="15">
        <f>IF(F17="SEASONED",E17,"")</f>
        <v/>
      </c>
      <c r="H17" s="8" t="n"/>
    </row>
    <row r="18">
      <c r="A18" s="13" t="n">
        <v>8</v>
      </c>
      <c r="B18" s="13" t="inlineStr">
        <is>
          <t>TER</t>
        </is>
      </c>
      <c r="C18" s="14">
        <f>COUNTIF('10 원자료 US거래'!Y5:Y94,"TRADED")</f>
        <v/>
      </c>
      <c r="D18" s="15">
        <f>SUMPRODUCT('10 원자료 US거래'!W5:W94,'10 원자료 US거래'!X5:X94)</f>
        <v/>
      </c>
      <c r="E18" s="15">
        <f>D18/90</f>
        <v/>
      </c>
      <c r="F18" s="16">
        <f>IF(C18&gt;=90,"SEASONED","INCOMPLETE")</f>
        <v/>
      </c>
      <c r="G18" s="15">
        <f>IF(F18="SEASONED",E18,"")</f>
        <v/>
      </c>
      <c r="H18" s="8" t="n"/>
    </row>
    <row r="19">
      <c r="A19" s="13" t="n">
        <v>9</v>
      </c>
      <c r="B19" s="13" t="inlineStr">
        <is>
          <t>SPCX</t>
        </is>
      </c>
      <c r="C19" s="14">
        <f>COUNTIF('10 원자료 US거래'!AB5:AB94,"TRADED")</f>
        <v/>
      </c>
      <c r="D19" s="15">
        <f>SUMPRODUCT('10 원자료 US거래'!Z5:Z94,'10 원자료 US거래'!AA5:AA94)</f>
        <v/>
      </c>
      <c r="E19" s="15">
        <f>D19/90</f>
        <v/>
      </c>
      <c r="F19" s="16">
        <f>IF(C19&gt;=90,"SEASONED","INCOMPLETE")</f>
        <v/>
      </c>
      <c r="G19" s="15">
        <f>IF(F19="SEASONED",E19,"")</f>
        <v/>
      </c>
      <c r="H19" s="8" t="inlineStr">
        <is>
          <t>시즈닝 미달 — 분포 제외 대상</t>
        </is>
      </c>
    </row>
    <row r="21">
      <c r="A21" s="5" t="inlineStr">
        <is>
          <t>■ SPCX를 보면 규칙의 의미가 드러납니다</t>
        </is>
      </c>
    </row>
    <row r="22">
      <c r="A22" s="6" t="inlineStr">
        <is>
          <t xml:space="preserve">  SPCX는 90일 중 7일만 거래됐습니다. 그런데 합계를 90으로 나눈 값은 오히려 9종목 중 가장 큽니다.</t>
        </is>
      </c>
    </row>
    <row r="23">
      <c r="A23" s="6" t="inlineStr">
        <is>
          <t xml:space="preserve">  7일 동안 거래대금이 매우 컸기 때문입니다. 시즈닝 규칙이 없으면 신규 상장주가 유동성 심사를</t>
        </is>
      </c>
    </row>
    <row r="24">
      <c r="A24" s="6" t="inlineStr">
        <is>
          <t xml:space="preserve">  가장 여유롭게 통과해 버립니다. 룰북 §8.1이 모집단을 '시즈닝 통과'로 한정한 이유입니다.</t>
        </is>
      </c>
    </row>
  </sheetData>
  <mergeCells count="9">
    <mergeCell ref="A4:H4"/>
    <mergeCell ref="A21:H21"/>
    <mergeCell ref="A7:H7"/>
    <mergeCell ref="A24:H24"/>
    <mergeCell ref="A5:H5"/>
    <mergeCell ref="A23:H23"/>
    <mergeCell ref="A8:H8"/>
    <mergeCell ref="A6:H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40" customWidth="1" min="4" max="4"/>
  </cols>
  <sheetData>
    <row r="1">
      <c r="A1" s="1" t="inlineStr">
        <is>
          <t>P10 하한과 편입 판정 — 엑셀 수식으로 산출</t>
        </is>
      </c>
    </row>
    <row r="2">
      <c r="A2" s="2" t="inlineStr">
        <is>
          <t>룰북 §8.1(분포·하한) · §9(편입) · PERCENTILE.INC = 선형보간</t>
        </is>
      </c>
    </row>
    <row r="4">
      <c r="A4" s="5" t="inlineStr">
        <is>
          <t>■ 엑셀의 PERCENTILE.INC 는 파이썬 numpy.percentile 기본값과 같은 선형보간을 씁니다.</t>
        </is>
      </c>
    </row>
    <row r="5">
      <c r="A5" s="6" t="inlineStr">
        <is>
          <t xml:space="preserve">  위치 h = (n − 1) × p, 소수부는 아래위 두 값 사이를 비례 배분합니다.</t>
        </is>
      </c>
    </row>
    <row r="6">
      <c r="A6" s="6" t="inlineStr">
        <is>
          <t xml:space="preserve">  두 환경이 같은 값을 내면 보간 구현이 환경에 의존하지 않는다는 뜻입니다.</t>
        </is>
      </c>
    </row>
    <row r="8">
      <c r="A8" s="7" t="inlineStr">
        <is>
          <t>항목</t>
        </is>
      </c>
      <c r="B8" s="7" t="inlineStr">
        <is>
          <t>값 (엑셀 수식)</t>
        </is>
      </c>
      <c r="C8" s="7" t="inlineStr"/>
      <c r="D8" s="7" t="inlineStr">
        <is>
          <t>근거·비고</t>
        </is>
      </c>
    </row>
    <row r="9">
      <c r="A9" s="8" t="inlineStr">
        <is>
          <t>분포 모집단 n — 시즈닝 통과만</t>
        </is>
      </c>
      <c r="B9" s="14">
        <f>COUNT('11 계산 ADTV90'!G11:G19)</f>
        <v/>
      </c>
      <c r="D9" s="8" t="inlineStr">
        <is>
          <t>룰북 §8.1 '보통주·시즈닝 통과'</t>
        </is>
      </c>
    </row>
    <row r="10">
      <c r="A10" s="8" t="inlineStr">
        <is>
          <t>보간 위치 h = (n−1) × 0.10</t>
        </is>
      </c>
      <c r="B10" s="17">
        <f>(B9-1)*0.1</f>
        <v/>
      </c>
      <c r="D10" s="8" t="inlineStr">
        <is>
          <t>h &lt; 1 이면 P10은 최솟값과 2번째 사이</t>
        </is>
      </c>
    </row>
    <row r="11">
      <c r="A11" s="8" t="inlineStr">
        <is>
          <t>P10 하한 (시즈닝 통과 8종목)</t>
        </is>
      </c>
      <c r="B11" s="18">
        <f>PERCENTILE.INC('11 계산 ADTV90'!G11:G19,0.1)</f>
        <v/>
      </c>
      <c r="D11" s="8" t="inlineStr">
        <is>
          <t>★ 공식 산출값</t>
        </is>
      </c>
    </row>
    <row r="12">
      <c r="A12" s="8" t="inlineStr">
        <is>
          <t>최솟값 x1</t>
        </is>
      </c>
      <c r="B12" s="15">
        <f>SMALL('11 계산 ADTV90'!G11:G19,1)</f>
        <v/>
      </c>
      <c r="D12" s="8" t="inlineStr"/>
    </row>
    <row r="13">
      <c r="A13" s="8" t="inlineStr">
        <is>
          <t>두 번째 값 x2</t>
        </is>
      </c>
      <c r="B13" s="15">
        <f>SMALL('11 계산 ADTV90'!G11:G19,2)</f>
        <v/>
      </c>
      <c r="D13" s="8" t="inlineStr"/>
    </row>
    <row r="14">
      <c r="A14" s="8" t="inlineStr">
        <is>
          <t>보간 검산 = x1 + (h−1의내림)×(x2−x1)</t>
        </is>
      </c>
      <c r="B14" s="15">
        <f>B12+(B10-INT(B10))*(B13-B12)</f>
        <v/>
      </c>
      <c r="D14" s="8" t="inlineStr">
        <is>
          <t>PERCENTILE.INC 와 같아야 함</t>
        </is>
      </c>
    </row>
    <row r="15">
      <c r="A15" s="8" t="inlineStr">
        <is>
          <t>KTOS ADTV90</t>
        </is>
      </c>
      <c r="B15" s="15">
        <f>INDEX('11 계산 ADTV90'!E11:E19,MATCH("KTOS",'11 계산 ADTV90'!B11:B19,0))</f>
        <v/>
      </c>
      <c r="D15" s="8" t="inlineStr"/>
    </row>
    <row r="16">
      <c r="A16" s="8" t="inlineStr">
        <is>
          <t>KTOS 편입 여부</t>
        </is>
      </c>
      <c r="B16" s="19">
        <f>IF(B15&gt;=B11,"편입","제외")</f>
        <v/>
      </c>
      <c r="D16" s="8" t="inlineStr">
        <is>
          <t>P10 이상이면 편입</t>
        </is>
      </c>
    </row>
    <row r="17">
      <c r="A17" s="8" t="inlineStr">
        <is>
          <t>KTOS의 P10 대비 차이 (%)</t>
        </is>
      </c>
      <c r="B17" s="17">
        <f>(B15/B11-1)*100</f>
        <v/>
      </c>
      <c r="D17" s="8" t="inlineStr"/>
    </row>
    <row r="18">
      <c r="A18" s="8" t="inlineStr">
        <is>
          <t>P10 미만 종목 수</t>
        </is>
      </c>
      <c r="B18" s="14">
        <f>COUNTIF('11 계산 ADTV90'!G11:G19,"&lt;"&amp;B11)</f>
        <v/>
      </c>
      <c r="D18" s="8" t="inlineStr">
        <is>
          <t>몇 종목이 떨어지는가</t>
        </is>
      </c>
    </row>
    <row r="19">
      <c r="A19" s="8" t="inlineStr">
        <is>
          <t>2종목 이상 탈락에 필요한 최소 n</t>
        </is>
      </c>
      <c r="B19" s="14">
        <f>CEILING(1/0.1,1)+1</f>
        <v/>
      </c>
      <c r="D19" s="8" t="inlineStr">
        <is>
          <t>h=(n−1)×0.1 ≥ 1</t>
        </is>
      </c>
    </row>
    <row r="21">
      <c r="A21" s="5" t="inlineStr">
        <is>
          <t>■ 참고 — SPCX를 모집단에 넣으면 어떻게 되는가 (규칙상 넣지 않음)</t>
        </is>
      </c>
    </row>
    <row r="23">
      <c r="A23" s="8" t="inlineStr">
        <is>
          <t>P10 (SPCX 포함 9종목)</t>
        </is>
      </c>
      <c r="B23" s="15">
        <f>PERCENTILE.INC('11 계산 ADTV90'!E11:E19,0.1)</f>
        <v/>
      </c>
      <c r="D23" s="8" t="inlineStr">
        <is>
          <t>n이 9가 되어 h가 0.8로 커진다. 하위 두 값은 그대로라 P10만 올라간다.</t>
        </is>
      </c>
    </row>
    <row r="25">
      <c r="A25" s="5" t="inlineStr">
        <is>
          <t>■ 여기서 나오는 구조 문제</t>
        </is>
      </c>
    </row>
    <row r="26">
      <c r="A26" s="6" t="inlineStr">
        <is>
          <t xml:space="preserve">  h가 0과 1 사이면 P10은 항상 최솟값과 두 번째 값 사이에 놓입니다.</t>
        </is>
      </c>
    </row>
    <row r="27">
      <c r="A27" s="6" t="inlineStr">
        <is>
          <t xml:space="preserve">  따라서 P10 미만 종목은 언제나 정확히 한 개입니다. 그 종목의 거래대금 크기와 무관합니다.</t>
        </is>
      </c>
    </row>
    <row r="28">
      <c r="A28" s="6" t="inlineStr">
        <is>
          <t xml:space="preserve">  → 지금 P10은 '유동성이 일정 수준 미만이면 제외'가 아니라 '가장 낮은 하나를 제외'로 작동합니다.</t>
        </is>
      </c>
    </row>
  </sheetData>
  <mergeCells count="8">
    <mergeCell ref="A5:D5"/>
    <mergeCell ref="A27:D27"/>
    <mergeCell ref="A6:D6"/>
    <mergeCell ref="A4:D4"/>
    <mergeCell ref="A26:D26"/>
    <mergeCell ref="A21:D21"/>
    <mergeCell ref="A25:D25"/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구성종목 종가 2일치 + 환율 — 원자료</t>
        </is>
      </c>
    </row>
    <row r="2">
      <c r="A2" s="2" t="inlineStr">
        <is>
          <t>기준일 2026-04-01 · 검산일 2026-04-07 · 출처 daily_market_state.csv · fx.csv</t>
        </is>
      </c>
    </row>
    <row r="4">
      <c r="A4" s="7" t="inlineStr">
        <is>
          <t>구분</t>
        </is>
      </c>
      <c r="B4" s="7" t="inlineStr">
        <is>
          <t>날짜</t>
        </is>
      </c>
      <c r="C4" s="7" t="inlineStr">
        <is>
          <t>환율(원/달러)</t>
        </is>
      </c>
    </row>
    <row r="5">
      <c r="A5" s="8" t="inlineStr">
        <is>
          <t>기준일</t>
        </is>
      </c>
      <c r="B5" s="8" t="inlineStr">
        <is>
          <t>2026-04-01</t>
        </is>
      </c>
      <c r="C5" s="20" t="n">
        <v>1530.5</v>
      </c>
    </row>
    <row r="6">
      <c r="A6" s="8" t="inlineStr">
        <is>
          <t>검산일</t>
        </is>
      </c>
      <c r="B6" s="8" t="inlineStr">
        <is>
          <t>2026-04-07</t>
        </is>
      </c>
      <c r="C6" s="20" t="n">
        <v>1507.2</v>
      </c>
    </row>
    <row r="8">
      <c r="A8" s="7" t="inlineStr"/>
      <c r="B8" s="7" t="inlineStr">
        <is>
          <t>종목</t>
        </is>
      </c>
      <c r="C8" s="7" t="inlineStr">
        <is>
          <t>지역</t>
        </is>
      </c>
      <c r="D8" s="7" t="inlineStr">
        <is>
          <t>테마</t>
        </is>
      </c>
      <c r="E8" s="7" t="inlineStr">
        <is>
          <t>셀</t>
        </is>
      </c>
      <c r="F8" s="7" t="inlineStr">
        <is>
          <t>기준일 종가</t>
        </is>
      </c>
      <c r="G8" s="7" t="inlineStr">
        <is>
          <t>검산일 종가</t>
        </is>
      </c>
    </row>
    <row r="9">
      <c r="A9" s="13" t="n">
        <v>1</v>
      </c>
      <c r="B9" s="13" t="inlineStr">
        <is>
          <t>010120</t>
        </is>
      </c>
      <c r="C9" s="13" t="inlineStr">
        <is>
          <t>KR</t>
        </is>
      </c>
      <c r="D9" s="8" t="inlineStr">
        <is>
          <t>ENERGY_POWER</t>
        </is>
      </c>
      <c r="E9" s="8" t="inlineStr">
        <is>
          <t>KR_ENERGY_POWER</t>
        </is>
      </c>
      <c r="F9" s="11" t="n">
        <v>794000</v>
      </c>
      <c r="G9" s="11" t="n">
        <v>788000</v>
      </c>
    </row>
    <row r="10">
      <c r="A10" s="13" t="n">
        <v>2</v>
      </c>
      <c r="B10" s="13" t="inlineStr">
        <is>
          <t>012450</t>
        </is>
      </c>
      <c r="C10" s="13" t="inlineStr">
        <is>
          <t>KR</t>
        </is>
      </c>
      <c r="D10" s="8" t="inlineStr">
        <is>
          <t>SPACE_DEFENSE</t>
        </is>
      </c>
      <c r="E10" s="8" t="inlineStr">
        <is>
          <t>KR_SPACE_DEFENSE</t>
        </is>
      </c>
      <c r="F10" s="11" t="n">
        <v>1333000</v>
      </c>
      <c r="G10" s="11" t="n">
        <v>1537000</v>
      </c>
    </row>
    <row r="11">
      <c r="A11" s="13" t="n">
        <v>3</v>
      </c>
      <c r="B11" s="13" t="inlineStr">
        <is>
          <t>064350</t>
        </is>
      </c>
      <c r="C11" s="13" t="inlineStr">
        <is>
          <t>KR</t>
        </is>
      </c>
      <c r="D11" s="8" t="inlineStr">
        <is>
          <t>SPACE_DEFENSE</t>
        </is>
      </c>
      <c r="E11" s="8" t="inlineStr">
        <is>
          <t>KR_SPACE_DEFENSE</t>
        </is>
      </c>
      <c r="F11" s="11" t="n">
        <v>188800</v>
      </c>
      <c r="G11" s="11" t="n">
        <v>211000</v>
      </c>
    </row>
    <row r="12">
      <c r="A12" s="13" t="n">
        <v>4</v>
      </c>
      <c r="B12" s="13" t="inlineStr">
        <is>
          <t>064400</t>
        </is>
      </c>
      <c r="C12" s="13" t="inlineStr">
        <is>
          <t>KR</t>
        </is>
      </c>
      <c r="D12" s="8" t="inlineStr">
        <is>
          <t>AI_ROBOTICS</t>
        </is>
      </c>
      <c r="E12" s="8" t="inlineStr">
        <is>
          <t>KR_AI_ROBOTICS</t>
        </is>
      </c>
      <c r="F12" s="11" t="n">
        <v>59500</v>
      </c>
      <c r="G12" s="11" t="n">
        <v>57100</v>
      </c>
    </row>
    <row r="13">
      <c r="A13" s="13" t="n">
        <v>5</v>
      </c>
      <c r="B13" s="13" t="inlineStr">
        <is>
          <t>079550</t>
        </is>
      </c>
      <c r="C13" s="13" t="inlineStr">
        <is>
          <t>KR</t>
        </is>
      </c>
      <c r="D13" s="8" t="inlineStr">
        <is>
          <t>SPACE_DEFENSE</t>
        </is>
      </c>
      <c r="E13" s="8" t="inlineStr">
        <is>
          <t>KR_SPACE_DEFENSE</t>
        </is>
      </c>
      <c r="F13" s="11" t="n">
        <v>794000</v>
      </c>
      <c r="G13" s="11" t="n">
        <v>827000</v>
      </c>
    </row>
    <row r="14">
      <c r="A14" s="13" t="n">
        <v>6</v>
      </c>
      <c r="B14" s="13" t="inlineStr">
        <is>
          <t>267260</t>
        </is>
      </c>
      <c r="C14" s="13" t="inlineStr">
        <is>
          <t>KR</t>
        </is>
      </c>
      <c r="D14" s="8" t="inlineStr">
        <is>
          <t>ENERGY_POWER</t>
        </is>
      </c>
      <c r="E14" s="8" t="inlineStr">
        <is>
          <t>KR_ENERGY_POWER</t>
        </is>
      </c>
      <c r="F14" s="11" t="n">
        <v>902000</v>
      </c>
      <c r="G14" s="11" t="n">
        <v>891000</v>
      </c>
    </row>
    <row r="15">
      <c r="A15" s="13" t="n">
        <v>7</v>
      </c>
      <c r="B15" s="13" t="inlineStr">
        <is>
          <t>298040</t>
        </is>
      </c>
      <c r="C15" s="13" t="inlineStr">
        <is>
          <t>KR</t>
        </is>
      </c>
      <c r="D15" s="8" t="inlineStr">
        <is>
          <t>ENERGY_POWER</t>
        </is>
      </c>
      <c r="E15" s="8" t="inlineStr">
        <is>
          <t>KR_ENERGY_POWER</t>
        </is>
      </c>
      <c r="F15" s="11" t="n">
        <v>2653000</v>
      </c>
      <c r="G15" s="11" t="n">
        <v>2610000</v>
      </c>
    </row>
    <row r="16">
      <c r="A16" s="13" t="n">
        <v>8</v>
      </c>
      <c r="B16" s="13" t="inlineStr">
        <is>
          <t>307950</t>
        </is>
      </c>
      <c r="C16" s="13" t="inlineStr">
        <is>
          <t>KR</t>
        </is>
      </c>
      <c r="D16" s="8" t="inlineStr">
        <is>
          <t>AI_ROBOTICS</t>
        </is>
      </c>
      <c r="E16" s="8" t="inlineStr">
        <is>
          <t>KR_AI_ROBOTICS</t>
        </is>
      </c>
      <c r="F16" s="11" t="n">
        <v>391000</v>
      </c>
      <c r="G16" s="11" t="n">
        <v>370000</v>
      </c>
    </row>
    <row r="17">
      <c r="A17" s="13" t="n">
        <v>9</v>
      </c>
      <c r="B17" s="13" t="inlineStr">
        <is>
          <t>ALAB</t>
        </is>
      </c>
      <c r="C17" s="13" t="inlineStr">
        <is>
          <t>US</t>
        </is>
      </c>
      <c r="D17" s="8" t="inlineStr">
        <is>
          <t>AI_ROBOTICS</t>
        </is>
      </c>
      <c r="E17" s="8" t="inlineStr">
        <is>
          <t>US_AI_ROBOTICS</t>
        </is>
      </c>
      <c r="F17" s="11" t="n">
        <v>106.33</v>
      </c>
      <c r="G17" s="11" t="n">
        <v>118.99</v>
      </c>
    </row>
    <row r="18">
      <c r="A18" s="13" t="n">
        <v>10</v>
      </c>
      <c r="B18" s="13" t="inlineStr">
        <is>
          <t>ANET</t>
        </is>
      </c>
      <c r="C18" s="13" t="inlineStr">
        <is>
          <t>US</t>
        </is>
      </c>
      <c r="D18" s="8" t="inlineStr">
        <is>
          <t>AI_ROBOTICS</t>
        </is>
      </c>
      <c r="E18" s="8" t="inlineStr">
        <is>
          <t>US_AI_ROBOTICS</t>
        </is>
      </c>
      <c r="F18" s="11" t="n">
        <v>124.85</v>
      </c>
      <c r="G18" s="11" t="n">
        <v>133.64</v>
      </c>
    </row>
    <row r="19">
      <c r="A19" s="13" t="n">
        <v>11</v>
      </c>
      <c r="B19" s="13" t="inlineStr">
        <is>
          <t>APH</t>
        </is>
      </c>
      <c r="C19" s="13" t="inlineStr">
        <is>
          <t>US</t>
        </is>
      </c>
      <c r="D19" s="8" t="inlineStr">
        <is>
          <t>ENERGY_POWER</t>
        </is>
      </c>
      <c r="E19" s="8" t="inlineStr">
        <is>
          <t>US_ENERGY_POWER</t>
        </is>
      </c>
      <c r="F19" s="11" t="n">
        <v>127.7</v>
      </c>
      <c r="G19" s="11" t="n">
        <v>128.38</v>
      </c>
    </row>
    <row r="20">
      <c r="A20" s="13" t="n">
        <v>12</v>
      </c>
      <c r="B20" s="13" t="inlineStr">
        <is>
          <t>ETN</t>
        </is>
      </c>
      <c r="C20" s="13" t="inlineStr">
        <is>
          <t>US</t>
        </is>
      </c>
      <c r="D20" s="8" t="inlineStr">
        <is>
          <t>ENERGY_POWER</t>
        </is>
      </c>
      <c r="E20" s="8" t="inlineStr">
        <is>
          <t>US_ENERGY_POWER</t>
        </is>
      </c>
      <c r="F20" s="11" t="n">
        <v>365.56</v>
      </c>
      <c r="G20" s="11" t="n">
        <v>368.85</v>
      </c>
    </row>
    <row r="21">
      <c r="A21" s="13" t="n">
        <v>13</v>
      </c>
      <c r="B21" s="13" t="inlineStr">
        <is>
          <t>GEV</t>
        </is>
      </c>
      <c r="C21" s="13" t="inlineStr">
        <is>
          <t>US</t>
        </is>
      </c>
      <c r="D21" s="8" t="inlineStr">
        <is>
          <t>ENERGY_POWER</t>
        </is>
      </c>
      <c r="E21" s="8" t="inlineStr">
        <is>
          <t>US_ENERGY_POWER</t>
        </is>
      </c>
      <c r="F21" s="11" t="n">
        <v>894.78</v>
      </c>
      <c r="G21" s="11" t="n">
        <v>910.75</v>
      </c>
    </row>
    <row r="22">
      <c r="A22" s="13" t="n">
        <v>14</v>
      </c>
      <c r="B22" s="13" t="inlineStr">
        <is>
          <t>KTOS</t>
        </is>
      </c>
      <c r="C22" s="13" t="inlineStr">
        <is>
          <t>US</t>
        </is>
      </c>
      <c r="D22" s="8" t="inlineStr">
        <is>
          <t>SPACE_DEFENSE</t>
        </is>
      </c>
      <c r="E22" s="8" t="inlineStr">
        <is>
          <t>US_SPACE_DEFENSE</t>
        </is>
      </c>
      <c r="F22" s="11" t="n">
        <v>67.7</v>
      </c>
      <c r="G22" s="11" t="n">
        <v>71.95999999999999</v>
      </c>
    </row>
    <row r="23">
      <c r="A23" s="13" t="n">
        <v>15</v>
      </c>
      <c r="B23" s="13" t="inlineStr">
        <is>
          <t>TER</t>
        </is>
      </c>
      <c r="C23" s="13" t="inlineStr">
        <is>
          <t>US</t>
        </is>
      </c>
      <c r="D23" s="8" t="inlineStr">
        <is>
          <t>AI_ROBOTICS</t>
        </is>
      </c>
      <c r="E23" s="8" t="inlineStr">
        <is>
          <t>US_AI_ROBOTICS</t>
        </is>
      </c>
      <c r="F23" s="11" t="n">
        <v>312.2</v>
      </c>
      <c r="G23" s="11" t="n">
        <v>320.48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8" customWidth="1" min="5" max="5"/>
    <col width="30" customWidth="1" min="6" max="6"/>
  </cols>
  <sheetData>
    <row r="1">
      <c r="A1" s="1" t="inlineStr">
        <is>
          <t>6셀 목표비중 — 엑셀 수식으로 산출</t>
        </is>
      </c>
    </row>
    <row r="2">
      <c r="A2" s="2" t="inlineStr">
        <is>
          <t>D-04 ②(테마 1:1:1) · D-10 ①(지역 50:50) · D-10 ②(6셀 각 1/6)</t>
        </is>
      </c>
    </row>
    <row r="4">
      <c r="A4" s="5" t="inlineStr">
        <is>
          <t>■ 수식</t>
        </is>
      </c>
    </row>
    <row r="5">
      <c r="A5" s="6" t="inlineStr">
        <is>
          <t xml:space="preserve">  셀 목표비중 = 1/6                                    ← D-10 ② 명문</t>
        </is>
      </c>
    </row>
    <row r="6">
      <c r="A6" s="6" t="inlineStr">
        <is>
          <t xml:space="preserve">  편입 종목수 = COUNTIF(셀 열, 해당 셀)</t>
        </is>
      </c>
    </row>
    <row r="7">
      <c r="A7" s="6" t="inlineStr">
        <is>
          <t xml:space="preserve">  종목당 비중 = 셀 목표비중 ÷ 편입 종목수</t>
        </is>
      </c>
    </row>
    <row r="8">
      <c r="A8" s="5" t="inlineStr"/>
    </row>
    <row r="9">
      <c r="A9" s="6" t="inlineStr">
        <is>
          <t xml:space="preserve">  ※ 6셀 각 1/6은 테마 1:1:1과 지역 50:50을 만족하는 유일한 해가 아닙니다.</t>
        </is>
      </c>
    </row>
    <row r="10">
      <c r="A10" s="6" t="inlineStr">
        <is>
          <t xml:space="preserve">    미지수 6개에 독립 제약이 4개라 자유도가 2 남습니다. 근거는 유일성이 아니라 D-10 ② 명문입니다.</t>
        </is>
      </c>
    </row>
    <row r="12">
      <c r="A12" s="7" t="inlineStr"/>
      <c r="B12" s="7" t="inlineStr">
        <is>
          <t>셀</t>
        </is>
      </c>
      <c r="C12" s="7" t="inlineStr">
        <is>
          <t>셀 목표비중</t>
        </is>
      </c>
      <c r="D12" s="7" t="inlineStr">
        <is>
          <t>편입 종목수</t>
        </is>
      </c>
      <c r="E12" s="7" t="inlineStr">
        <is>
          <t>종목당 비중</t>
        </is>
      </c>
      <c r="F12" s="7" t="inlineStr">
        <is>
          <t>메모</t>
        </is>
      </c>
    </row>
    <row r="13">
      <c r="A13" s="13" t="n">
        <v>1</v>
      </c>
      <c r="B13" s="8" t="inlineStr">
        <is>
          <t>KR_AI_ROBOTICS</t>
        </is>
      </c>
      <c r="C13" s="21">
        <f>1/6</f>
        <v/>
      </c>
      <c r="D13" s="14">
        <f>COUNTIF('20 원자료 가격'!$E$9:$E$23,B13)</f>
        <v/>
      </c>
      <c r="E13" s="21">
        <f>C13/D13</f>
        <v/>
      </c>
      <c r="F13" s="8" t="n"/>
    </row>
    <row r="14">
      <c r="A14" s="13" t="n">
        <v>2</v>
      </c>
      <c r="B14" s="8" t="inlineStr">
        <is>
          <t>KR_ENERGY_POWER</t>
        </is>
      </c>
      <c r="C14" s="21">
        <f>1/6</f>
        <v/>
      </c>
      <c r="D14" s="14">
        <f>COUNTIF('20 원자료 가격'!$E$9:$E$23,B14)</f>
        <v/>
      </c>
      <c r="E14" s="21">
        <f>C14/D14</f>
        <v/>
      </c>
      <c r="F14" s="8" t="n"/>
    </row>
    <row r="15">
      <c r="A15" s="13" t="n">
        <v>3</v>
      </c>
      <c r="B15" s="8" t="inlineStr">
        <is>
          <t>KR_SPACE_DEFENSE</t>
        </is>
      </c>
      <c r="C15" s="21">
        <f>1/6</f>
        <v/>
      </c>
      <c r="D15" s="14">
        <f>COUNTIF('20 원자료 가격'!$E$9:$E$23,B15)</f>
        <v/>
      </c>
      <c r="E15" s="21">
        <f>C15/D15</f>
        <v/>
      </c>
      <c r="F15" s="8" t="n"/>
    </row>
    <row r="16">
      <c r="A16" s="13" t="n">
        <v>4</v>
      </c>
      <c r="B16" s="8" t="inlineStr">
        <is>
          <t>US_AI_ROBOTICS</t>
        </is>
      </c>
      <c r="C16" s="21">
        <f>1/6</f>
        <v/>
      </c>
      <c r="D16" s="14">
        <f>COUNTIF('20 원자료 가격'!$E$9:$E$23,B16)</f>
        <v/>
      </c>
      <c r="E16" s="21">
        <f>C16/D16</f>
        <v/>
      </c>
      <c r="F16" s="8" t="n"/>
    </row>
    <row r="17">
      <c r="A17" s="13" t="n">
        <v>5</v>
      </c>
      <c r="B17" s="8" t="inlineStr">
        <is>
          <t>US_ENERGY_POWER</t>
        </is>
      </c>
      <c r="C17" s="21">
        <f>1/6</f>
        <v/>
      </c>
      <c r="D17" s="14">
        <f>COUNTIF('20 원자료 가격'!$E$9:$E$23,B17)</f>
        <v/>
      </c>
      <c r="E17" s="21">
        <f>C17/D17</f>
        <v/>
      </c>
      <c r="F17" s="8" t="n"/>
    </row>
    <row r="18">
      <c r="A18" s="13" t="n">
        <v>6</v>
      </c>
      <c r="B18" s="8" t="inlineStr">
        <is>
          <t>US_SPACE_DEFENSE</t>
        </is>
      </c>
      <c r="C18" s="21">
        <f>1/6</f>
        <v/>
      </c>
      <c r="D18" s="14">
        <f>COUNTIF('20 원자료 가격'!$E$9:$E$23,B18)</f>
        <v/>
      </c>
      <c r="E18" s="21">
        <f>C18/D18</f>
        <v/>
      </c>
      <c r="F18" s="8" t="n"/>
    </row>
    <row r="19">
      <c r="B19" s="22" t="inlineStr">
        <is>
          <t>합계</t>
        </is>
      </c>
      <c r="C19" s="23">
        <f>SUM(C13:C18)</f>
        <v/>
      </c>
      <c r="D19" s="14">
        <f>SUM(D13:D18)</f>
        <v/>
      </c>
      <c r="F19" s="8" t="inlineStr">
        <is>
          <t>정확히 1.000000 이어야 함</t>
        </is>
      </c>
    </row>
    <row r="21">
      <c r="A21" s="7" t="inlineStr"/>
      <c r="B21" s="7" t="inlineStr">
        <is>
          <t>종목</t>
        </is>
      </c>
      <c r="C21" s="7" t="inlineStr">
        <is>
          <t>셀</t>
        </is>
      </c>
      <c r="D21" s="7" t="inlineStr">
        <is>
          <t>목표비중</t>
        </is>
      </c>
      <c r="E21" s="7" t="inlineStr"/>
      <c r="F21" s="7" t="inlineStr">
        <is>
          <t>메모</t>
        </is>
      </c>
    </row>
    <row r="22">
      <c r="A22" s="13" t="n">
        <v>1</v>
      </c>
      <c r="B22" s="16">
        <f>'20 원자료 가격'!B9</f>
        <v/>
      </c>
      <c r="C22" s="24">
        <f>'20 원자료 가격'!E9</f>
        <v/>
      </c>
      <c r="D22" s="21">
        <f>VLOOKUP(C22,$B$13:$E$18,4,FALSE)</f>
        <v/>
      </c>
      <c r="F22" s="8" t="n"/>
    </row>
    <row r="23">
      <c r="A23" s="13" t="n">
        <v>2</v>
      </c>
      <c r="B23" s="16">
        <f>'20 원자료 가격'!B10</f>
        <v/>
      </c>
      <c r="C23" s="24">
        <f>'20 원자료 가격'!E10</f>
        <v/>
      </c>
      <c r="D23" s="21">
        <f>VLOOKUP(C23,$B$13:$E$18,4,FALSE)</f>
        <v/>
      </c>
      <c r="F23" s="8" t="n"/>
    </row>
    <row r="24">
      <c r="A24" s="13" t="n">
        <v>3</v>
      </c>
      <c r="B24" s="16">
        <f>'20 원자료 가격'!B11</f>
        <v/>
      </c>
      <c r="C24" s="24">
        <f>'20 원자료 가격'!E11</f>
        <v/>
      </c>
      <c r="D24" s="21">
        <f>VLOOKUP(C24,$B$13:$E$18,4,FALSE)</f>
        <v/>
      </c>
      <c r="F24" s="8" t="n"/>
    </row>
    <row r="25">
      <c r="A25" s="13" t="n">
        <v>4</v>
      </c>
      <c r="B25" s="16">
        <f>'20 원자료 가격'!B12</f>
        <v/>
      </c>
      <c r="C25" s="24">
        <f>'20 원자료 가격'!E12</f>
        <v/>
      </c>
      <c r="D25" s="21">
        <f>VLOOKUP(C25,$B$13:$E$18,4,FALSE)</f>
        <v/>
      </c>
      <c r="F25" s="8" t="n"/>
    </row>
    <row r="26">
      <c r="A26" s="13" t="n">
        <v>5</v>
      </c>
      <c r="B26" s="16">
        <f>'20 원자료 가격'!B13</f>
        <v/>
      </c>
      <c r="C26" s="24">
        <f>'20 원자료 가격'!E13</f>
        <v/>
      </c>
      <c r="D26" s="21">
        <f>VLOOKUP(C26,$B$13:$E$18,4,FALSE)</f>
        <v/>
      </c>
      <c r="F26" s="8" t="n"/>
    </row>
    <row r="27">
      <c r="A27" s="13" t="n">
        <v>6</v>
      </c>
      <c r="B27" s="16">
        <f>'20 원자료 가격'!B14</f>
        <v/>
      </c>
      <c r="C27" s="24">
        <f>'20 원자료 가격'!E14</f>
        <v/>
      </c>
      <c r="D27" s="21">
        <f>VLOOKUP(C27,$B$13:$E$18,4,FALSE)</f>
        <v/>
      </c>
      <c r="F27" s="8" t="n"/>
    </row>
    <row r="28">
      <c r="A28" s="13" t="n">
        <v>7</v>
      </c>
      <c r="B28" s="16">
        <f>'20 원자료 가격'!B15</f>
        <v/>
      </c>
      <c r="C28" s="24">
        <f>'20 원자료 가격'!E15</f>
        <v/>
      </c>
      <c r="D28" s="21">
        <f>VLOOKUP(C28,$B$13:$E$18,4,FALSE)</f>
        <v/>
      </c>
      <c r="F28" s="8" t="n"/>
    </row>
    <row r="29">
      <c r="A29" s="13" t="n">
        <v>8</v>
      </c>
      <c r="B29" s="16">
        <f>'20 원자료 가격'!B16</f>
        <v/>
      </c>
      <c r="C29" s="24">
        <f>'20 원자료 가격'!E16</f>
        <v/>
      </c>
      <c r="D29" s="21">
        <f>VLOOKUP(C29,$B$13:$E$18,4,FALSE)</f>
        <v/>
      </c>
      <c r="F29" s="8" t="n"/>
    </row>
    <row r="30">
      <c r="A30" s="13" t="n">
        <v>9</v>
      </c>
      <c r="B30" s="16">
        <f>'20 원자료 가격'!B17</f>
        <v/>
      </c>
      <c r="C30" s="24">
        <f>'20 원자료 가격'!E17</f>
        <v/>
      </c>
      <c r="D30" s="21">
        <f>VLOOKUP(C30,$B$13:$E$18,4,FALSE)</f>
        <v/>
      </c>
      <c r="F30" s="8" t="n"/>
    </row>
    <row r="31">
      <c r="A31" s="13" t="n">
        <v>10</v>
      </c>
      <c r="B31" s="16">
        <f>'20 원자료 가격'!B18</f>
        <v/>
      </c>
      <c r="C31" s="24">
        <f>'20 원자료 가격'!E18</f>
        <v/>
      </c>
      <c r="D31" s="21">
        <f>VLOOKUP(C31,$B$13:$E$18,4,FALSE)</f>
        <v/>
      </c>
      <c r="F31" s="8" t="n"/>
    </row>
    <row r="32">
      <c r="A32" s="13" t="n">
        <v>11</v>
      </c>
      <c r="B32" s="16">
        <f>'20 원자료 가격'!B19</f>
        <v/>
      </c>
      <c r="C32" s="24">
        <f>'20 원자료 가격'!E19</f>
        <v/>
      </c>
      <c r="D32" s="21">
        <f>VLOOKUP(C32,$B$13:$E$18,4,FALSE)</f>
        <v/>
      </c>
      <c r="F32" s="8" t="n"/>
    </row>
    <row r="33">
      <c r="A33" s="13" t="n">
        <v>12</v>
      </c>
      <c r="B33" s="16">
        <f>'20 원자료 가격'!B20</f>
        <v/>
      </c>
      <c r="C33" s="24">
        <f>'20 원자료 가격'!E20</f>
        <v/>
      </c>
      <c r="D33" s="21">
        <f>VLOOKUP(C33,$B$13:$E$18,4,FALSE)</f>
        <v/>
      </c>
      <c r="F33" s="8" t="n"/>
    </row>
    <row r="34">
      <c r="A34" s="13" t="n">
        <v>13</v>
      </c>
      <c r="B34" s="16">
        <f>'20 원자료 가격'!B21</f>
        <v/>
      </c>
      <c r="C34" s="24">
        <f>'20 원자료 가격'!E21</f>
        <v/>
      </c>
      <c r="D34" s="21">
        <f>VLOOKUP(C34,$B$13:$E$18,4,FALSE)</f>
        <v/>
      </c>
      <c r="F34" s="8" t="n"/>
    </row>
    <row r="35">
      <c r="A35" s="13" t="n">
        <v>14</v>
      </c>
      <c r="B35" s="16">
        <f>'20 원자료 가격'!B22</f>
        <v/>
      </c>
      <c r="C35" s="24">
        <f>'20 원자료 가격'!E22</f>
        <v/>
      </c>
      <c r="D35" s="21">
        <f>VLOOKUP(C35,$B$13:$E$18,4,FALSE)</f>
        <v/>
      </c>
      <c r="F35" s="8" t="n"/>
    </row>
    <row r="36">
      <c r="A36" s="13" t="n">
        <v>15</v>
      </c>
      <c r="B36" s="16">
        <f>'20 원자료 가격'!B23</f>
        <v/>
      </c>
      <c r="C36" s="24">
        <f>'20 원자료 가격'!E23</f>
        <v/>
      </c>
      <c r="D36" s="21">
        <f>VLOOKUP(C36,$B$13:$E$18,4,FALSE)</f>
        <v/>
      </c>
      <c r="F36" s="8" t="n"/>
    </row>
    <row r="37">
      <c r="C37" s="22" t="inlineStr">
        <is>
          <t>합계</t>
        </is>
      </c>
      <c r="D37" s="23">
        <f>SUM(D22:D36)</f>
        <v/>
      </c>
    </row>
    <row r="39">
      <c r="A39" s="8" t="inlineStr">
        <is>
          <t>최대 비중</t>
        </is>
      </c>
      <c r="B39" s="23">
        <f>MAX(D22:D36)</f>
        <v/>
      </c>
      <c r="C39" s="16">
        <f>INDEX(B22:B36,MATCH(MAX(D22:D36),D22:D36,0))</f>
        <v/>
      </c>
      <c r="D39" s="25">
        <f>B39*100</f>
        <v/>
      </c>
      <c r="F39" s="8" t="inlineStr">
        <is>
          <t>% 표기</t>
        </is>
      </c>
    </row>
  </sheetData>
  <mergeCells count="7">
    <mergeCell ref="A10:F10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6" customWidth="1" min="4" max="4"/>
    <col width="18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지수 레벨 2026-04-07 — 엑셀 수식으로 산출</t>
        </is>
      </c>
    </row>
    <row r="2">
      <c r="A2" s="2" t="inlineStr">
        <is>
          <t>룰북 §13 · D-08 · 기준값 1,000 · 원화 무헤지 · SAME_DAY_ECOS</t>
        </is>
      </c>
    </row>
    <row r="4">
      <c r="A4" s="5" t="inlineStr">
        <is>
          <t>■ 수식</t>
        </is>
      </c>
    </row>
    <row r="5">
      <c r="A5" s="6" t="inlineStr">
        <is>
          <t xml:space="preserve">  원화 가격  = IF(지역="US", 종가 × 그 날짜의 환율, 종가)     ← 한국 종목엔 곱하지 않음</t>
        </is>
      </c>
    </row>
    <row r="6">
      <c r="A6" s="6" t="inlineStr">
        <is>
          <t xml:space="preserve">  가격비     = 검산일 원화가격 ÷ 기준일 원화가격</t>
        </is>
      </c>
    </row>
    <row r="7">
      <c r="A7" s="6" t="inlineStr">
        <is>
          <t xml:space="preserve">  지수       = SUMPRODUCT(목표비중, 가격비) × 1000</t>
        </is>
      </c>
    </row>
    <row r="8">
      <c r="A8" s="5" t="inlineStr"/>
    </row>
    <row r="9">
      <c r="A9" s="6" t="inlineStr">
        <is>
          <t xml:space="preserve">  ※ 기준일과 검산일에 서로 다른 환율을 씁니다. 같은 환율을 쓰면 환율 변동분이 사라집니다.</t>
        </is>
      </c>
    </row>
    <row r="11">
      <c r="A11" s="7" t="inlineStr"/>
      <c r="B11" s="7" t="inlineStr">
        <is>
          <t>종목</t>
        </is>
      </c>
      <c r="C11" s="7" t="inlineStr">
        <is>
          <t>지역</t>
        </is>
      </c>
      <c r="D11" s="7" t="inlineStr">
        <is>
          <t>목표비중</t>
        </is>
      </c>
      <c r="E11" s="7" t="inlineStr">
        <is>
          <t>기준일 원화가격</t>
        </is>
      </c>
      <c r="F11" s="7" t="inlineStr">
        <is>
          <t>검산일 원화가격</t>
        </is>
      </c>
      <c r="G11" s="7" t="inlineStr">
        <is>
          <t>가격비</t>
        </is>
      </c>
      <c r="H11" s="7" t="inlineStr">
        <is>
          <t>비중×가격비</t>
        </is>
      </c>
      <c r="I11" s="7" t="inlineStr">
        <is>
          <t>메모</t>
        </is>
      </c>
    </row>
    <row r="12">
      <c r="A12" s="13" t="n">
        <v>1</v>
      </c>
      <c r="B12" s="16">
        <f>'20 원자료 가격'!B9</f>
        <v/>
      </c>
      <c r="C12" s="16">
        <f>'20 원자료 가격'!C9</f>
        <v/>
      </c>
      <c r="D12" s="21">
        <f>'21 계산 비중'!D22</f>
        <v/>
      </c>
      <c r="E12" s="15">
        <f>IF(C12="US",'20 원자료 가격'!F9*'20 원자료 가격'!$C$5,'20 원자료 가격'!F9)</f>
        <v/>
      </c>
      <c r="F12" s="15">
        <f>IF(C12="US",'20 원자료 가격'!G9*'20 원자료 가격'!$C$6,'20 원자료 가격'!G9)</f>
        <v/>
      </c>
      <c r="G12" s="26">
        <f>F12/E12</f>
        <v/>
      </c>
      <c r="H12" s="26">
        <f>D12*G12</f>
        <v/>
      </c>
      <c r="I12" s="8" t="n"/>
    </row>
    <row r="13">
      <c r="A13" s="13" t="n">
        <v>2</v>
      </c>
      <c r="B13" s="16">
        <f>'20 원자료 가격'!B10</f>
        <v/>
      </c>
      <c r="C13" s="16">
        <f>'20 원자료 가격'!C10</f>
        <v/>
      </c>
      <c r="D13" s="21">
        <f>'21 계산 비중'!D23</f>
        <v/>
      </c>
      <c r="E13" s="15">
        <f>IF(C13="US",'20 원자료 가격'!F10*'20 원자료 가격'!$C$5,'20 원자료 가격'!F10)</f>
        <v/>
      </c>
      <c r="F13" s="15">
        <f>IF(C13="US",'20 원자료 가격'!G10*'20 원자료 가격'!$C$6,'20 원자료 가격'!G10)</f>
        <v/>
      </c>
      <c r="G13" s="26">
        <f>F13/E13</f>
        <v/>
      </c>
      <c r="H13" s="26">
        <f>D13*G13</f>
        <v/>
      </c>
      <c r="I13" s="8" t="n"/>
    </row>
    <row r="14">
      <c r="A14" s="13" t="n">
        <v>3</v>
      </c>
      <c r="B14" s="16">
        <f>'20 원자료 가격'!B11</f>
        <v/>
      </c>
      <c r="C14" s="16">
        <f>'20 원자료 가격'!C11</f>
        <v/>
      </c>
      <c r="D14" s="21">
        <f>'21 계산 비중'!D24</f>
        <v/>
      </c>
      <c r="E14" s="15">
        <f>IF(C14="US",'20 원자료 가격'!F11*'20 원자료 가격'!$C$5,'20 원자료 가격'!F11)</f>
        <v/>
      </c>
      <c r="F14" s="15">
        <f>IF(C14="US",'20 원자료 가격'!G11*'20 원자료 가격'!$C$6,'20 원자료 가격'!G11)</f>
        <v/>
      </c>
      <c r="G14" s="26">
        <f>F14/E14</f>
        <v/>
      </c>
      <c r="H14" s="26">
        <f>D14*G14</f>
        <v/>
      </c>
      <c r="I14" s="8" t="n"/>
    </row>
    <row r="15">
      <c r="A15" s="13" t="n">
        <v>4</v>
      </c>
      <c r="B15" s="16">
        <f>'20 원자료 가격'!B12</f>
        <v/>
      </c>
      <c r="C15" s="16">
        <f>'20 원자료 가격'!C12</f>
        <v/>
      </c>
      <c r="D15" s="21">
        <f>'21 계산 비중'!D25</f>
        <v/>
      </c>
      <c r="E15" s="15">
        <f>IF(C15="US",'20 원자료 가격'!F12*'20 원자료 가격'!$C$5,'20 원자료 가격'!F12)</f>
        <v/>
      </c>
      <c r="F15" s="15">
        <f>IF(C15="US",'20 원자료 가격'!G12*'20 원자료 가격'!$C$6,'20 원자료 가격'!G12)</f>
        <v/>
      </c>
      <c r="G15" s="26">
        <f>F15/E15</f>
        <v/>
      </c>
      <c r="H15" s="26">
        <f>D15*G15</f>
        <v/>
      </c>
      <c r="I15" s="8" t="n"/>
    </row>
    <row r="16">
      <c r="A16" s="13" t="n">
        <v>5</v>
      </c>
      <c r="B16" s="16">
        <f>'20 원자료 가격'!B13</f>
        <v/>
      </c>
      <c r="C16" s="16">
        <f>'20 원자료 가격'!C13</f>
        <v/>
      </c>
      <c r="D16" s="21">
        <f>'21 계산 비중'!D26</f>
        <v/>
      </c>
      <c r="E16" s="15">
        <f>IF(C16="US",'20 원자료 가격'!F13*'20 원자료 가격'!$C$5,'20 원자료 가격'!F13)</f>
        <v/>
      </c>
      <c r="F16" s="15">
        <f>IF(C16="US",'20 원자료 가격'!G13*'20 원자료 가격'!$C$6,'20 원자료 가격'!G13)</f>
        <v/>
      </c>
      <c r="G16" s="26">
        <f>F16/E16</f>
        <v/>
      </c>
      <c r="H16" s="26">
        <f>D16*G16</f>
        <v/>
      </c>
      <c r="I16" s="8" t="n"/>
    </row>
    <row r="17">
      <c r="A17" s="13" t="n">
        <v>6</v>
      </c>
      <c r="B17" s="16">
        <f>'20 원자료 가격'!B14</f>
        <v/>
      </c>
      <c r="C17" s="16">
        <f>'20 원자료 가격'!C14</f>
        <v/>
      </c>
      <c r="D17" s="21">
        <f>'21 계산 비중'!D27</f>
        <v/>
      </c>
      <c r="E17" s="15">
        <f>IF(C17="US",'20 원자료 가격'!F14*'20 원자료 가격'!$C$5,'20 원자료 가격'!F14)</f>
        <v/>
      </c>
      <c r="F17" s="15">
        <f>IF(C17="US",'20 원자료 가격'!G14*'20 원자료 가격'!$C$6,'20 원자료 가격'!G14)</f>
        <v/>
      </c>
      <c r="G17" s="26">
        <f>F17/E17</f>
        <v/>
      </c>
      <c r="H17" s="26">
        <f>D17*G17</f>
        <v/>
      </c>
      <c r="I17" s="8" t="n"/>
    </row>
    <row r="18">
      <c r="A18" s="13" t="n">
        <v>7</v>
      </c>
      <c r="B18" s="16">
        <f>'20 원자료 가격'!B15</f>
        <v/>
      </c>
      <c r="C18" s="16">
        <f>'20 원자료 가격'!C15</f>
        <v/>
      </c>
      <c r="D18" s="21">
        <f>'21 계산 비중'!D28</f>
        <v/>
      </c>
      <c r="E18" s="15">
        <f>IF(C18="US",'20 원자료 가격'!F15*'20 원자료 가격'!$C$5,'20 원자료 가격'!F15)</f>
        <v/>
      </c>
      <c r="F18" s="15">
        <f>IF(C18="US",'20 원자료 가격'!G15*'20 원자료 가격'!$C$6,'20 원자료 가격'!G15)</f>
        <v/>
      </c>
      <c r="G18" s="26">
        <f>F18/E18</f>
        <v/>
      </c>
      <c r="H18" s="26">
        <f>D18*G18</f>
        <v/>
      </c>
      <c r="I18" s="8" t="n"/>
    </row>
    <row r="19">
      <c r="A19" s="13" t="n">
        <v>8</v>
      </c>
      <c r="B19" s="16">
        <f>'20 원자료 가격'!B16</f>
        <v/>
      </c>
      <c r="C19" s="16">
        <f>'20 원자료 가격'!C16</f>
        <v/>
      </c>
      <c r="D19" s="21">
        <f>'21 계산 비중'!D29</f>
        <v/>
      </c>
      <c r="E19" s="15">
        <f>IF(C19="US",'20 원자료 가격'!F16*'20 원자료 가격'!$C$5,'20 원자료 가격'!F16)</f>
        <v/>
      </c>
      <c r="F19" s="15">
        <f>IF(C19="US",'20 원자료 가격'!G16*'20 원자료 가격'!$C$6,'20 원자료 가격'!G16)</f>
        <v/>
      </c>
      <c r="G19" s="26">
        <f>F19/E19</f>
        <v/>
      </c>
      <c r="H19" s="26">
        <f>D19*G19</f>
        <v/>
      </c>
      <c r="I19" s="8" t="n"/>
    </row>
    <row r="20">
      <c r="A20" s="13" t="n">
        <v>9</v>
      </c>
      <c r="B20" s="16">
        <f>'20 원자료 가격'!B17</f>
        <v/>
      </c>
      <c r="C20" s="16">
        <f>'20 원자료 가격'!C17</f>
        <v/>
      </c>
      <c r="D20" s="21">
        <f>'21 계산 비중'!D30</f>
        <v/>
      </c>
      <c r="E20" s="15">
        <f>IF(C20="US",'20 원자료 가격'!F17*'20 원자료 가격'!$C$5,'20 원자료 가격'!F17)</f>
        <v/>
      </c>
      <c r="F20" s="15">
        <f>IF(C20="US",'20 원자료 가격'!G17*'20 원자료 가격'!$C$6,'20 원자료 가격'!G17)</f>
        <v/>
      </c>
      <c r="G20" s="26">
        <f>F20/E20</f>
        <v/>
      </c>
      <c r="H20" s="26">
        <f>D20*G20</f>
        <v/>
      </c>
      <c r="I20" s="8" t="n"/>
    </row>
    <row r="21">
      <c r="A21" s="13" t="n">
        <v>10</v>
      </c>
      <c r="B21" s="16">
        <f>'20 원자료 가격'!B18</f>
        <v/>
      </c>
      <c r="C21" s="16">
        <f>'20 원자료 가격'!C18</f>
        <v/>
      </c>
      <c r="D21" s="21">
        <f>'21 계산 비중'!D31</f>
        <v/>
      </c>
      <c r="E21" s="15">
        <f>IF(C21="US",'20 원자료 가격'!F18*'20 원자료 가격'!$C$5,'20 원자료 가격'!F18)</f>
        <v/>
      </c>
      <c r="F21" s="15">
        <f>IF(C21="US",'20 원자료 가격'!G18*'20 원자료 가격'!$C$6,'20 원자료 가격'!G18)</f>
        <v/>
      </c>
      <c r="G21" s="26">
        <f>F21/E21</f>
        <v/>
      </c>
      <c r="H21" s="26">
        <f>D21*G21</f>
        <v/>
      </c>
      <c r="I21" s="8" t="n"/>
    </row>
    <row r="22">
      <c r="A22" s="13" t="n">
        <v>11</v>
      </c>
      <c r="B22" s="16">
        <f>'20 원자료 가격'!B19</f>
        <v/>
      </c>
      <c r="C22" s="16">
        <f>'20 원자료 가격'!C19</f>
        <v/>
      </c>
      <c r="D22" s="21">
        <f>'21 계산 비중'!D32</f>
        <v/>
      </c>
      <c r="E22" s="15">
        <f>IF(C22="US",'20 원자료 가격'!F19*'20 원자료 가격'!$C$5,'20 원자료 가격'!F19)</f>
        <v/>
      </c>
      <c r="F22" s="15">
        <f>IF(C22="US",'20 원자료 가격'!G19*'20 원자료 가격'!$C$6,'20 원자료 가격'!G19)</f>
        <v/>
      </c>
      <c r="G22" s="26">
        <f>F22/E22</f>
        <v/>
      </c>
      <c r="H22" s="26">
        <f>D22*G22</f>
        <v/>
      </c>
      <c r="I22" s="8" t="n"/>
    </row>
    <row r="23">
      <c r="A23" s="13" t="n">
        <v>12</v>
      </c>
      <c r="B23" s="16">
        <f>'20 원자료 가격'!B20</f>
        <v/>
      </c>
      <c r="C23" s="16">
        <f>'20 원자료 가격'!C20</f>
        <v/>
      </c>
      <c r="D23" s="21">
        <f>'21 계산 비중'!D33</f>
        <v/>
      </c>
      <c r="E23" s="15">
        <f>IF(C23="US",'20 원자료 가격'!F20*'20 원자료 가격'!$C$5,'20 원자료 가격'!F20)</f>
        <v/>
      </c>
      <c r="F23" s="15">
        <f>IF(C23="US",'20 원자료 가격'!G20*'20 원자료 가격'!$C$6,'20 원자료 가격'!G20)</f>
        <v/>
      </c>
      <c r="G23" s="26">
        <f>F23/E23</f>
        <v/>
      </c>
      <c r="H23" s="26">
        <f>D23*G23</f>
        <v/>
      </c>
      <c r="I23" s="8" t="n"/>
    </row>
    <row r="24">
      <c r="A24" s="13" t="n">
        <v>13</v>
      </c>
      <c r="B24" s="16">
        <f>'20 원자료 가격'!B21</f>
        <v/>
      </c>
      <c r="C24" s="16">
        <f>'20 원자료 가격'!C21</f>
        <v/>
      </c>
      <c r="D24" s="21">
        <f>'21 계산 비중'!D34</f>
        <v/>
      </c>
      <c r="E24" s="15">
        <f>IF(C24="US",'20 원자료 가격'!F21*'20 원자료 가격'!$C$5,'20 원자료 가격'!F21)</f>
        <v/>
      </c>
      <c r="F24" s="15">
        <f>IF(C24="US",'20 원자료 가격'!G21*'20 원자료 가격'!$C$6,'20 원자료 가격'!G21)</f>
        <v/>
      </c>
      <c r="G24" s="26">
        <f>F24/E24</f>
        <v/>
      </c>
      <c r="H24" s="26">
        <f>D24*G24</f>
        <v/>
      </c>
      <c r="I24" s="8" t="n"/>
    </row>
    <row r="25">
      <c r="A25" s="13" t="n">
        <v>14</v>
      </c>
      <c r="B25" s="16">
        <f>'20 원자료 가격'!B22</f>
        <v/>
      </c>
      <c r="C25" s="16">
        <f>'20 원자료 가격'!C22</f>
        <v/>
      </c>
      <c r="D25" s="21">
        <f>'21 계산 비중'!D35</f>
        <v/>
      </c>
      <c r="E25" s="15">
        <f>IF(C25="US",'20 원자료 가격'!F22*'20 원자료 가격'!$C$5,'20 원자료 가격'!F22)</f>
        <v/>
      </c>
      <c r="F25" s="15">
        <f>IF(C25="US",'20 원자료 가격'!G22*'20 원자료 가격'!$C$6,'20 원자료 가격'!G22)</f>
        <v/>
      </c>
      <c r="G25" s="26">
        <f>F25/E25</f>
        <v/>
      </c>
      <c r="H25" s="26">
        <f>D25*G25</f>
        <v/>
      </c>
      <c r="I25" s="8" t="n"/>
    </row>
    <row r="26">
      <c r="A26" s="13" t="n">
        <v>15</v>
      </c>
      <c r="B26" s="16">
        <f>'20 원자료 가격'!B23</f>
        <v/>
      </c>
      <c r="C26" s="16">
        <f>'20 원자료 가격'!C23</f>
        <v/>
      </c>
      <c r="D26" s="21">
        <f>'21 계산 비중'!D36</f>
        <v/>
      </c>
      <c r="E26" s="15">
        <f>IF(C26="US",'20 원자료 가격'!F23*'20 원자료 가격'!$C$5,'20 원자료 가격'!F23)</f>
        <v/>
      </c>
      <c r="F26" s="15">
        <f>IF(C26="US",'20 원자료 가격'!G23*'20 원자료 가격'!$C$6,'20 원자료 가격'!G23)</f>
        <v/>
      </c>
      <c r="G26" s="26">
        <f>F26/E26</f>
        <v/>
      </c>
      <c r="H26" s="26">
        <f>D26*G26</f>
        <v/>
      </c>
      <c r="I26" s="8" t="n"/>
    </row>
    <row r="27">
      <c r="G27" s="22" t="inlineStr">
        <is>
          <t>합계</t>
        </is>
      </c>
      <c r="H27" s="26">
        <f>SUM(H12:H26)</f>
        <v/>
      </c>
    </row>
    <row r="29">
      <c r="A29" s="8" t="inlineStr">
        <is>
          <t>2026-04-07 지수 레벨 = 합계 × 1000</t>
        </is>
      </c>
      <c r="B29" s="27" t="n"/>
      <c r="C29" s="28" t="n"/>
      <c r="D29" s="29">
        <f>H27*1000</f>
        <v/>
      </c>
    </row>
  </sheetData>
  <mergeCells count="7">
    <mergeCell ref="A7:I7"/>
    <mergeCell ref="A5:I5"/>
    <mergeCell ref="A9:I9"/>
    <mergeCell ref="A8:I8"/>
    <mergeCell ref="A6:I6"/>
    <mergeCell ref="A29:C29"/>
    <mergeCell ref="A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18" customWidth="1" min="5" max="5"/>
    <col width="16" customWidth="1" min="6" max="6"/>
    <col width="34" customWidth="1" min="7" max="7"/>
  </cols>
  <sheetData>
    <row r="1">
      <c r="A1" s="1" t="inlineStr">
        <is>
          <t>010120 액면분할 5:1 — 조정 전후 비교</t>
        </is>
      </c>
    </row>
    <row r="2">
      <c r="A2" s="2" t="inlineStr">
        <is>
          <t>데이터사전 4.1 · 경계일 2026-04-13(신주권상장일) · DART 20260205800571</t>
        </is>
      </c>
    </row>
    <row r="3"/>
    <row r="4">
      <c r="A4" s="5" t="inlineStr">
        <is>
          <t>■ 수식</t>
        </is>
      </c>
    </row>
    <row r="5">
      <c r="A5" s="6" t="inlineStr">
        <is>
          <t xml:space="preserve">  조정 종가 = IF(날짜 &lt; 2026-04-13, 원종가 ÷ 5, 원종가)</t>
        </is>
      </c>
    </row>
    <row r="6">
      <c r="A6" s="6" t="inlineStr">
        <is>
          <t xml:space="preserve">  수익률    = 당일 조정종가 ÷ 전일 조정종가 − 1</t>
        </is>
      </c>
    </row>
    <row r="7">
      <c r="A7" s="5" t="inlineStr"/>
    </row>
    <row r="8">
      <c r="A8" s="6" t="inlineStr">
        <is>
          <t xml:space="preserve">  ※ 거래정지 기간(04-08~10)의 종가도 분할 전 기준이므로 함께 나눕니다.</t>
        </is>
      </c>
    </row>
    <row r="9">
      <c r="A9" s="6" t="inlineStr">
        <is>
          <t xml:space="preserve">  ※ 공시에는 효력발생일 2026-04-10 과 상장일 2026-04-13 이 따로 적혀 있습니다.</t>
        </is>
      </c>
    </row>
    <row r="10">
      <c r="A10" s="6" t="inlineStr">
        <is>
          <t xml:space="preserve">    가격 계열에서는 거래가 실제로 재개된 상장일이 경계입니다.</t>
        </is>
      </c>
    </row>
    <row r="11"/>
    <row r="12">
      <c r="A12" s="7" t="inlineStr"/>
      <c r="B12" s="7" t="inlineStr">
        <is>
          <t>날짜</t>
        </is>
      </c>
      <c r="C12" s="7" t="inlineStr">
        <is>
          <t>원종가</t>
        </is>
      </c>
      <c r="D12" s="7" t="inlineStr">
        <is>
          <t>상태</t>
        </is>
      </c>
      <c r="E12" s="7" t="inlineStr">
        <is>
          <t>조정 종가</t>
        </is>
      </c>
      <c r="F12" s="7" t="inlineStr">
        <is>
          <t>조정 후 수익률</t>
        </is>
      </c>
      <c r="G12" s="7" t="inlineStr">
        <is>
          <t>조정 전 수익률</t>
        </is>
      </c>
    </row>
    <row r="13">
      <c r="A13" s="13" t="n">
        <v>1</v>
      </c>
      <c r="B13" s="8" t="inlineStr">
        <is>
          <t>2026-04-06</t>
        </is>
      </c>
      <c r="C13" s="12" t="n">
        <v>799000</v>
      </c>
      <c r="D13" s="13" t="inlineStr">
        <is>
          <t>TRADED</t>
        </is>
      </c>
      <c r="E13" s="30">
        <f>IF(B13&lt;"2026-04-13",C13/5,C13)</f>
        <v/>
      </c>
      <c r="F13" s="8" t="n"/>
      <c r="G13" s="8" t="n"/>
    </row>
    <row r="14">
      <c r="A14" s="13" t="n">
        <v>2</v>
      </c>
      <c r="B14" s="8" t="inlineStr">
        <is>
          <t>2026-04-07</t>
        </is>
      </c>
      <c r="C14" s="12" t="n">
        <v>788000</v>
      </c>
      <c r="D14" s="13" t="inlineStr">
        <is>
          <t>TRADED</t>
        </is>
      </c>
      <c r="E14" s="30">
        <f>IF(B14&lt;"2026-04-13",C14/5,C14)</f>
        <v/>
      </c>
      <c r="F14" s="31">
        <f>E14/E13-1</f>
        <v/>
      </c>
      <c r="G14" s="31">
        <f>C14/C13-1</f>
        <v/>
      </c>
    </row>
    <row r="15">
      <c r="A15" s="13" t="n">
        <v>3</v>
      </c>
      <c r="B15" s="8" t="inlineStr">
        <is>
          <t>2026-04-08</t>
        </is>
      </c>
      <c r="C15" s="12" t="n">
        <v>788000</v>
      </c>
      <c r="D15" s="13" t="inlineStr">
        <is>
          <t>TRADING_HALT</t>
        </is>
      </c>
      <c r="E15" s="30">
        <f>IF(B15&lt;"2026-04-13",C15/5,C15)</f>
        <v/>
      </c>
      <c r="F15" s="31">
        <f>E15/E14-1</f>
        <v/>
      </c>
      <c r="G15" s="31">
        <f>C15/C14-1</f>
        <v/>
      </c>
    </row>
    <row r="16">
      <c r="A16" s="13" t="n">
        <v>4</v>
      </c>
      <c r="B16" s="8" t="inlineStr">
        <is>
          <t>2026-04-09</t>
        </is>
      </c>
      <c r="C16" s="12" t="n">
        <v>788000</v>
      </c>
      <c r="D16" s="13" t="inlineStr">
        <is>
          <t>TRADING_HALT</t>
        </is>
      </c>
      <c r="E16" s="30">
        <f>IF(B16&lt;"2026-04-13",C16/5,C16)</f>
        <v/>
      </c>
      <c r="F16" s="31">
        <f>E16/E15-1</f>
        <v/>
      </c>
      <c r="G16" s="31">
        <f>C16/C15-1</f>
        <v/>
      </c>
    </row>
    <row r="17">
      <c r="A17" s="13" t="n">
        <v>5</v>
      </c>
      <c r="B17" s="8" t="inlineStr">
        <is>
          <t>2026-04-10</t>
        </is>
      </c>
      <c r="C17" s="12" t="n">
        <v>788000</v>
      </c>
      <c r="D17" s="13" t="inlineStr">
        <is>
          <t>TRADING_HALT</t>
        </is>
      </c>
      <c r="E17" s="30">
        <f>IF(B17&lt;"2026-04-13",C17/5,C17)</f>
        <v/>
      </c>
      <c r="F17" s="31">
        <f>E17/E16-1</f>
        <v/>
      </c>
      <c r="G17" s="31">
        <f>C17/C16-1</f>
        <v/>
      </c>
    </row>
    <row r="18">
      <c r="A18" s="13" t="n">
        <v>6</v>
      </c>
      <c r="B18" s="8" t="inlineStr">
        <is>
          <t>2026-04-13</t>
        </is>
      </c>
      <c r="C18" s="12" t="n">
        <v>179200</v>
      </c>
      <c r="D18" s="13" t="inlineStr">
        <is>
          <t>TRADED</t>
        </is>
      </c>
      <c r="E18" s="30">
        <f>IF(B18&lt;"2026-04-13",C18/5,C18)</f>
        <v/>
      </c>
      <c r="F18" s="31">
        <f>E18/E17-1</f>
        <v/>
      </c>
      <c r="G18" s="31">
        <f>C18/C17-1</f>
        <v/>
      </c>
    </row>
    <row r="19">
      <c r="A19" s="13" t="n">
        <v>7</v>
      </c>
      <c r="B19" s="8" t="inlineStr">
        <is>
          <t>2026-04-14</t>
        </is>
      </c>
      <c r="C19" s="12" t="n">
        <v>185600</v>
      </c>
      <c r="D19" s="13" t="inlineStr">
        <is>
          <t>TRADED</t>
        </is>
      </c>
      <c r="E19" s="30">
        <f>IF(B19&lt;"2026-04-13",C19/5,C19)</f>
        <v/>
      </c>
      <c r="F19" s="31">
        <f>E19/E18-1</f>
        <v/>
      </c>
      <c r="G19" s="31">
        <f>C19/C18-1</f>
        <v/>
      </c>
    </row>
    <row r="20">
      <c r="A20" s="13" t="n">
        <v>8</v>
      </c>
      <c r="B20" s="8" t="inlineStr">
        <is>
          <t>2026-04-15</t>
        </is>
      </c>
      <c r="C20" s="12" t="n">
        <v>186800</v>
      </c>
      <c r="D20" s="13" t="inlineStr">
        <is>
          <t>TRADED</t>
        </is>
      </c>
      <c r="E20" s="30">
        <f>IF(B20&lt;"2026-04-13",C20/5,C20)</f>
        <v/>
      </c>
      <c r="F20" s="31">
        <f>E20/E19-1</f>
        <v/>
      </c>
      <c r="G20" s="31">
        <f>C20/C19-1</f>
        <v/>
      </c>
    </row>
    <row r="21">
      <c r="A21" s="13" t="n">
        <v>9</v>
      </c>
      <c r="B21" s="8" t="inlineStr">
        <is>
          <t>2026-04-16</t>
        </is>
      </c>
      <c r="C21" s="12" t="n">
        <v>188600</v>
      </c>
      <c r="D21" s="13" t="inlineStr">
        <is>
          <t>TRADED</t>
        </is>
      </c>
      <c r="E21" s="30">
        <f>IF(B21&lt;"2026-04-13",C21/5,C21)</f>
        <v/>
      </c>
      <c r="F21" s="31">
        <f>E21/E20-1</f>
        <v/>
      </c>
      <c r="G21" s="31">
        <f>C21/C20-1</f>
        <v/>
      </c>
    </row>
    <row r="22"/>
    <row r="23">
      <c r="A23" s="8" t="inlineStr">
        <is>
          <t>① 조정 안 했을 때 04-13 수익률</t>
        </is>
      </c>
      <c r="B23" s="27" t="n"/>
      <c r="C23" s="28" t="n"/>
      <c r="D23" s="32">
        <f>G18</f>
        <v/>
      </c>
      <c r="F23" s="8" t="inlineStr">
        <is>
          <t>실재하지 않는 하락</t>
        </is>
      </c>
    </row>
    <row r="24">
      <c r="A24" s="8" t="inlineStr">
        <is>
          <t>② 조정 했을 때 04-13 수익률</t>
        </is>
      </c>
      <c r="B24" s="27" t="n"/>
      <c r="C24" s="28" t="n"/>
      <c r="D24" s="32">
        <f>F18</f>
        <v/>
      </c>
      <c r="F24" s="33" t="inlineStr">
        <is>
          <t>0%가 나오면 과보정</t>
        </is>
      </c>
    </row>
    <row r="25">
      <c r="A25" s="8" t="inlineStr">
        <is>
          <t>③ 차이 (① − ②)</t>
        </is>
      </c>
      <c r="B25" s="27" t="n"/>
      <c r="C25" s="28" t="n"/>
      <c r="D25" s="31">
        <f>D23-D24</f>
        <v/>
      </c>
    </row>
    <row r="26">
      <c r="A26" s="8" t="inlineStr">
        <is>
          <t>④ 04-13 '당일' 지수 기여 차이 = ③ × 010120 목표비중</t>
        </is>
      </c>
      <c r="B26" s="27" t="n"/>
      <c r="C26" s="28" t="n"/>
      <c r="D26" s="31">
        <f>D25*VLOOKUP("010120",'21 계산 비중'!$B$22:$D$36,3,FALSE)</f>
        <v/>
      </c>
      <c r="F26" s="33" t="inlineStr">
        <is>
          <t>★ 전 구간 효과가 아님 — 아래 주의 참조</t>
        </is>
      </c>
    </row>
    <row r="28">
      <c r="A28" s="3" t="inlineStr">
        <is>
          <t>■ 자기 점검</t>
        </is>
      </c>
    </row>
    <row r="29">
      <c r="A29" s="4" t="inlineStr">
        <is>
          <t xml:space="preserve">  조정 후 04-13 수익률이 0%면 두 번 나눈 것입니다. 올바르면 플러스가 나옵니다.</t>
        </is>
      </c>
    </row>
    <row r="30">
      <c r="A30" s="4" t="inlineStr">
        <is>
          <t xml:space="preserve">  분할 기준가보다 높게 재개됐다는 뜻이고, 그것이 실제 시장 반응입니다.</t>
        </is>
      </c>
    </row>
    <row r="32">
      <c r="A32" s="5" t="inlineStr">
        <is>
          <t>■ 주의 — ④를 '지수가 6.66%p 틀렸다'의 근거로 쓰면 안 됩니다. 축이 다릅니다.</t>
        </is>
      </c>
    </row>
    <row r="33">
      <c r="A33" s="5" t="inlineStr"/>
    </row>
    <row r="34">
      <c r="A34" s="6" t="inlineStr">
        <is>
          <t xml:space="preserve">  ④는 04-13 '하루'의 기여 차이입니다. 분할은 하루 사건이지만, 기준일 고정가중 구조에서는</t>
        </is>
      </c>
    </row>
    <row r="35">
      <c r="A35" s="6" t="inlineStr">
        <is>
          <t xml:space="preserve">  조정이 그 이후 전 구간의 가격비를 5배로 바꿉니다. 효과가 하루에 갇히지 않습니다.</t>
        </is>
      </c>
    </row>
    <row r="36">
      <c r="A36" s="5" t="inlineStr"/>
    </row>
    <row r="37">
      <c r="A37" s="6" t="inlineStr">
        <is>
          <t xml:space="preserve">  올바른 전 구간 분해는 이렇습니다.</t>
        </is>
      </c>
    </row>
    <row r="38">
      <c r="A38" s="6" t="inlineStr">
        <is>
          <t xml:space="preserve">    010120 전 구간(04-01→06-30) 수익률   조정 전 −70.03% / 조정 후 +49.87% → 차이 119.90%p</t>
        </is>
      </c>
    </row>
    <row r="39">
      <c r="A39" s="6" t="inlineStr">
        <is>
          <t xml:space="preserve">    119.90%p × 목표비중 5.5556%(1/18) = 6.66%p = 지수 누적수익률 차이</t>
        </is>
      </c>
    </row>
    <row r="40">
      <c r="A40" s="5" t="inlineStr"/>
    </row>
    <row r="41">
      <c r="A41" s="6" t="inlineStr">
        <is>
          <t xml:space="preserve">  그리고 상대 수익률 차(1337.75/1271.14 − 1 = 5.24%)는 또 다른 축입니다. 셋을 섞지 마십시오.</t>
        </is>
      </c>
    </row>
    <row r="42">
      <c r="A42" s="6" t="inlineStr">
        <is>
          <t xml:space="preserve">  이 워크북은 04-07 지수만 검산하므로 전 구간 효과는 대상이 아닙니다.</t>
        </is>
      </c>
    </row>
    <row r="43">
      <c r="A43" s="6" t="inlineStr">
        <is>
          <t xml:space="preserve">  전 구간 수치는 qa/corrected_run/ 산출물에 있습니다.</t>
        </is>
      </c>
    </row>
  </sheetData>
  <mergeCells count="26">
    <mergeCell ref="A32:G32"/>
    <mergeCell ref="A25:C25"/>
    <mergeCell ref="A8:G8"/>
    <mergeCell ref="A35:G35"/>
    <mergeCell ref="A4:G4"/>
    <mergeCell ref="A38:G38"/>
    <mergeCell ref="A29:G29"/>
    <mergeCell ref="A42:G42"/>
    <mergeCell ref="A43:G43"/>
    <mergeCell ref="A26:C26"/>
    <mergeCell ref="A10:G10"/>
    <mergeCell ref="A28:G28"/>
    <mergeCell ref="A40:G40"/>
    <mergeCell ref="A9:G9"/>
    <mergeCell ref="A23:C23"/>
    <mergeCell ref="A39:G39"/>
    <mergeCell ref="A34:G34"/>
    <mergeCell ref="A30:G30"/>
    <mergeCell ref="A36:G36"/>
    <mergeCell ref="A6:G6"/>
    <mergeCell ref="A7:G7"/>
    <mergeCell ref="A41:G41"/>
    <mergeCell ref="A24:C24"/>
    <mergeCell ref="A37:G37"/>
    <mergeCell ref="A33:G33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2" customWidth="1" min="4" max="4"/>
    <col width="22" customWidth="1" min="5" max="5"/>
    <col width="16" customWidth="1" min="6" max="6"/>
    <col width="16" customWidth="1" min="7" max="7"/>
    <col width="34" customWidth="1" min="8" max="8"/>
  </cols>
  <sheetData>
    <row r="1">
      <c r="A1" s="1" t="inlineStr">
        <is>
          <t>세 경로 대조 — 엑셀 수식 · 수기 · 코드</t>
        </is>
      </c>
    </row>
    <row r="2">
      <c r="A2" s="2" t="inlineStr">
        <is>
          <t>엑셀값은 이 파일의 수식이 계산한 값 · 수기값은 직접 옮겨 적으십시오</t>
        </is>
      </c>
    </row>
    <row r="4">
      <c r="A4" s="5" t="inlineStr">
        <is>
          <t>■ 보는 법</t>
        </is>
      </c>
    </row>
    <row r="5">
      <c r="A5" s="6" t="inlineStr">
        <is>
          <t xml:space="preserve">  엑셀값과 코드값이 같으면 산식 해석이 계산 환경에 의존하지 않는다는 뜻입니다.</t>
        </is>
      </c>
    </row>
    <row r="6">
      <c r="A6" s="6" t="inlineStr">
        <is>
          <t xml:space="preserve">  수기값이 둘과 다르면, 사람이 틀렸을 수도 있고 규칙 해석이 갈렸을 수도 있습니다. 원인을 적으십시오.</t>
        </is>
      </c>
    </row>
    <row r="7">
      <c r="A7" s="6" t="inlineStr">
        <is>
          <t xml:space="preserve">  세 값이 모두 같아도 규칙 자체를 잘못 읽었을 가능성은 남습니다 — 그건 룰북 조항 대조로만 확인됩니다.</t>
        </is>
      </c>
    </row>
    <row r="9">
      <c r="A9" s="7" t="inlineStr"/>
      <c r="B9" s="7" t="inlineStr">
        <is>
          <t>검산 항목</t>
        </is>
      </c>
      <c r="C9" s="7" t="inlineStr">
        <is>
          <t>엑셀 수식값</t>
        </is>
      </c>
      <c r="D9" s="7" t="inlineStr">
        <is>
          <t>수기값 (직접 기입)</t>
        </is>
      </c>
      <c r="E9" s="7" t="inlineStr">
        <is>
          <t>코드값</t>
        </is>
      </c>
      <c r="F9" s="7" t="inlineStr">
        <is>
          <t>엑셀−코드</t>
        </is>
      </c>
      <c r="G9" s="7" t="inlineStr">
        <is>
          <t>판정</t>
        </is>
      </c>
      <c r="H9" s="7" t="inlineStr">
        <is>
          <t>메모</t>
        </is>
      </c>
    </row>
    <row r="10">
      <c r="A10" s="13" t="inlineStr">
        <is>
          <t>B</t>
        </is>
      </c>
      <c r="B10" s="8" t="inlineStr">
        <is>
          <t>KTOS ADTV90 (USD)</t>
        </is>
      </c>
      <c r="C10" s="15">
        <f>'12 계산 P10'!B15</f>
        <v/>
      </c>
      <c r="D10" s="34" t="n"/>
      <c r="E10" s="35" t="n">
        <v>315154781.2222222</v>
      </c>
      <c r="F10" s="36">
        <f>C10-E10</f>
        <v/>
      </c>
      <c r="G10" s="16">
        <f>IF(ABS(C10-E10)&lt;0.000001,"일치","★차이★")</f>
        <v/>
      </c>
      <c r="H10" s="8" t="n"/>
    </row>
    <row r="11">
      <c r="A11" s="13" t="inlineStr">
        <is>
          <t>C</t>
        </is>
      </c>
      <c r="B11" s="8" t="inlineStr">
        <is>
          <t>ADTV90 분모 (개장일수)</t>
        </is>
      </c>
      <c r="C11" s="14">
        <f>90</f>
        <v/>
      </c>
      <c r="D11" s="37" t="n"/>
      <c r="E11" s="38" t="n">
        <v>90</v>
      </c>
      <c r="F11" s="36">
        <f>C11-E11</f>
        <v/>
      </c>
      <c r="G11" s="16">
        <f>IF(ABS(C11-E11)&lt;0.000001,"일치","★차이★")</f>
        <v/>
      </c>
      <c r="H11" s="8" t="n"/>
    </row>
    <row r="12">
      <c r="A12" s="13" t="inlineStr">
        <is>
          <t>D</t>
        </is>
      </c>
      <c r="B12" s="8" t="inlineStr">
        <is>
          <t>미국 P10 하한 (USD)</t>
        </is>
      </c>
      <c r="C12" s="15">
        <f>'12 계산 P10'!B11</f>
        <v/>
      </c>
      <c r="D12" s="34" t="n"/>
      <c r="E12" s="35" t="n">
        <v>316884754.0355556</v>
      </c>
      <c r="F12" s="36">
        <f>C12-E12</f>
        <v/>
      </c>
      <c r="G12" s="16">
        <f>IF(ABS(C12-E12)&lt;0.000001,"일치","★차이★")</f>
        <v/>
      </c>
      <c r="H12" s="8" t="n"/>
    </row>
    <row r="13">
      <c r="A13" s="13" t="inlineStr">
        <is>
          <t>E</t>
        </is>
      </c>
      <c r="B13" s="8" t="inlineStr">
        <is>
          <t>KTOS 편입 여부</t>
        </is>
      </c>
      <c r="C13" s="19">
        <f>'12 계산 P10'!B16</f>
        <v/>
      </c>
      <c r="D13" s="39" t="n"/>
      <c r="E13" s="40" t="inlineStr">
        <is>
          <t>제외</t>
        </is>
      </c>
      <c r="F13" s="13" t="inlineStr">
        <is>
          <t>—</t>
        </is>
      </c>
      <c r="G13" s="16">
        <f>IF(C13=E13,"일치","★차이★")</f>
        <v/>
      </c>
      <c r="H13" s="8" t="n"/>
    </row>
    <row r="14">
      <c r="A14" s="13" t="inlineStr">
        <is>
          <t>F</t>
        </is>
      </c>
      <c r="B14" s="8" t="inlineStr">
        <is>
          <t>P10 미만 종목 수</t>
        </is>
      </c>
      <c r="C14" s="14">
        <f>'12 계산 P10'!B18</f>
        <v/>
      </c>
      <c r="D14" s="37" t="n"/>
      <c r="E14" s="38" t="n">
        <v>1</v>
      </c>
      <c r="F14" s="36">
        <f>C14-E14</f>
        <v/>
      </c>
      <c r="G14" s="16">
        <f>IF(ABS(C14-E14)&lt;0.000001,"일치","★차이★")</f>
        <v/>
      </c>
      <c r="H14" s="8" t="n"/>
    </row>
    <row r="15">
      <c r="A15" s="13" t="inlineStr">
        <is>
          <t>G</t>
        </is>
      </c>
      <c r="B15" s="8" t="inlineStr">
        <is>
          <t>2종목 이상 탈락 최소 n</t>
        </is>
      </c>
      <c r="C15" s="14">
        <f>'12 계산 P10'!B19</f>
        <v/>
      </c>
      <c r="D15" s="37" t="n"/>
      <c r="E15" s="38" t="n">
        <v>11</v>
      </c>
      <c r="F15" s="36">
        <f>C15-E15</f>
        <v/>
      </c>
      <c r="G15" s="16">
        <f>IF(ABS(C15-E15)&lt;0.000001,"일치","★차이★")</f>
        <v/>
      </c>
      <c r="H15" s="8" t="n"/>
    </row>
    <row r="16">
      <c r="A16" s="13" t="inlineStr">
        <is>
          <t>H</t>
        </is>
      </c>
      <c r="B16" s="8" t="inlineStr">
        <is>
          <t>목표비중 합계</t>
        </is>
      </c>
      <c r="C16" s="21">
        <f>'21 계산 비중'!C19</f>
        <v/>
      </c>
      <c r="D16" s="41" t="n"/>
      <c r="E16" s="42" t="n">
        <v>1</v>
      </c>
      <c r="F16" s="36">
        <f>C16-E16</f>
        <v/>
      </c>
      <c r="G16" s="16">
        <f>IF(ABS(C16-E16)&lt;0.000001,"일치","★차이★")</f>
        <v/>
      </c>
      <c r="H16" s="8" t="n"/>
    </row>
    <row r="17">
      <c r="A17" s="13" t="inlineStr">
        <is>
          <t>I</t>
        </is>
      </c>
      <c r="B17" s="8" t="inlineStr">
        <is>
          <t>최대 비중 (%)</t>
        </is>
      </c>
      <c r="C17" s="25">
        <f>'21 계산 비중'!D39</f>
        <v/>
      </c>
      <c r="D17" s="43" t="n"/>
      <c r="E17" s="44" t="n">
        <v>16.66666666666666</v>
      </c>
      <c r="F17" s="36">
        <f>C17-E17</f>
        <v/>
      </c>
      <c r="G17" s="16">
        <f>IF(ABS(C17-E17)&lt;0.000001,"일치","★차이★")</f>
        <v/>
      </c>
      <c r="H17" s="8" t="n"/>
    </row>
    <row r="18">
      <c r="A18" s="13" t="inlineStr">
        <is>
          <t>J</t>
        </is>
      </c>
      <c r="B18" s="8" t="inlineStr">
        <is>
          <t>2026-04-07 지수 레벨</t>
        </is>
      </c>
      <c r="C18" s="45">
        <f>'22 계산 지수'!D29</f>
        <v/>
      </c>
      <c r="D18" s="46" t="n"/>
      <c r="E18" s="47" t="n">
        <v>1023.801566757947</v>
      </c>
      <c r="F18" s="36">
        <f>C18-E18</f>
        <v/>
      </c>
      <c r="G18" s="16">
        <f>IF(ABS(C18-E18)&lt;0.000001,"일치","★차이★")</f>
        <v/>
      </c>
      <c r="H18" s="8" t="n"/>
    </row>
    <row r="19">
      <c r="A19" s="13" t="inlineStr">
        <is>
          <t>K</t>
        </is>
      </c>
      <c r="B19" s="8" t="inlineStr">
        <is>
          <t>04-13 조정 전 수익률</t>
        </is>
      </c>
      <c r="C19" s="31">
        <f>'30 계산 분할'!D23</f>
        <v/>
      </c>
      <c r="D19" s="48" t="n"/>
      <c r="E19" s="49" t="n">
        <v>-0.7725888324873096</v>
      </c>
      <c r="F19" s="36">
        <f>C19-E19</f>
        <v/>
      </c>
      <c r="G19" s="16">
        <f>IF(ABS(C19-E19)&lt;0.000001,"일치","★차이★")</f>
        <v/>
      </c>
      <c r="H19" s="8" t="n"/>
    </row>
    <row r="20">
      <c r="A20" s="13" t="inlineStr">
        <is>
          <t>L</t>
        </is>
      </c>
      <c r="B20" s="8" t="inlineStr">
        <is>
          <t>04-13 조정 후 수익률</t>
        </is>
      </c>
      <c r="C20" s="31">
        <f>'30 계산 분할'!D24</f>
        <v/>
      </c>
      <c r="D20" s="48" t="n"/>
      <c r="E20" s="49" t="n">
        <v>0.1370558375634519</v>
      </c>
      <c r="F20" s="36">
        <f>C20-E20</f>
        <v/>
      </c>
      <c r="G20" s="16">
        <f>IF(ABS(C20-E20)&lt;0.000001,"일치","★차이★")</f>
        <v/>
      </c>
      <c r="H20" s="8" t="n"/>
    </row>
    <row r="22">
      <c r="B22" s="22" t="inlineStr">
        <is>
          <t>엑셀 = 코드 일치 항목 수</t>
        </is>
      </c>
      <c r="C22" s="50">
        <f>COUNTIF(G10:G20,"일치")</f>
        <v/>
      </c>
      <c r="E22" s="8" t="inlineStr">
        <is>
          <t>/ 11</t>
        </is>
      </c>
    </row>
  </sheetData>
  <mergeCells count="4">
    <mergeCell ref="A7:H7"/>
    <mergeCell ref="A4:H4"/>
    <mergeCell ref="A6:H6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2026-07-29T04:06:17Z</dcterms:created>
  <dcterms:modified xmlns:dcterms="http://purl.org/dc/terms/" xmlns:xsi="http://www.w3.org/2001/XMLSchema-instance" xsi:type="dcterms:W3CDTF">2026-07-29T04:06:20Z</dcterms:modified>
</cp:coreProperties>
</file>